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ability Scorecard" sheetId="1" r:id="rId4"/>
    <sheet state="visible" name="Responses" sheetId="2" r:id="rId5"/>
    <sheet state="visible" name="Learning Preferences" sheetId="3" r:id="rId6"/>
    <sheet state="visible" name="Responses to Confusion" sheetId="4" r:id="rId7"/>
    <sheet state="visible" name="Frequency of Curiosity" sheetId="5" r:id="rId8"/>
    <sheet state="visible" name="Preferred Engagement Styles" sheetId="6" r:id="rId9"/>
    <sheet state="visible" name="Self-Initiated Learning Attempt" sheetId="7" r:id="rId10"/>
    <sheet state="visible" name="Primary Learning Sources " sheetId="8" r:id="rId11"/>
  </sheets>
  <definedNames/>
  <calcPr/>
  <pivotCaches>
    <pivotCache cacheId="0" r:id="rId12"/>
  </pivotCaches>
  <extLst>
    <ext uri="GoogleSheetsCustomDataVersion2">
      <go:sheetsCustomData xmlns:go="http://customooxmlschemas.google.com/" r:id="rId13" roundtripDataChecksum="L7n1FL/HjdRmeu+Ohlu/Kjh+6AiVYSP0yKav7T5IzH4="/>
    </ext>
  </extLst>
</workbook>
</file>

<file path=xl/sharedStrings.xml><?xml version="1.0" encoding="utf-8"?>
<sst xmlns="http://schemas.openxmlformats.org/spreadsheetml/2006/main" count="490" uniqueCount="143">
  <si>
    <t>Name</t>
  </si>
  <si>
    <t>School</t>
  </si>
  <si>
    <t>Location</t>
  </si>
  <si>
    <t>Class</t>
  </si>
  <si>
    <t>How do you prefer to learn something new?</t>
  </si>
  <si>
    <t>What do you do when you don't understand something?</t>
  </si>
  <si>
    <t>How often do you ask questions in class or at home?</t>
  </si>
  <si>
    <t>What kind of activity do you enjoy the most while learning?</t>
  </si>
  <si>
    <t>Do you try to find answers to your questions on your own?</t>
  </si>
  <si>
    <t>Where do you think you learn the most from?</t>
  </si>
  <si>
    <t>Jyoti Bisht</t>
  </si>
  <si>
    <t>COUNT</t>
  </si>
  <si>
    <t>Aarohi Bal Sansar</t>
  </si>
  <si>
    <t>Kabhra, Uttarakhand 263138</t>
  </si>
  <si>
    <t>Grand Total</t>
  </si>
  <si>
    <t>By watching a video or demonstration</t>
  </si>
  <si>
    <t>Search online or in a book</t>
  </si>
  <si>
    <t>Very often</t>
  </si>
  <si>
    <t>By reading a book or text</t>
  </si>
  <si>
    <t>Ask a teacher, parent, or friend</t>
  </si>
  <si>
    <t>Solving puzzles or logical questions</t>
  </si>
  <si>
    <t>Always</t>
  </si>
  <si>
    <t>Personal experiences (doing and observing)</t>
  </si>
  <si>
    <t>Leave it and do something else</t>
  </si>
  <si>
    <t>By listening to someone explain</t>
  </si>
  <si>
    <t>Isha Sharma</t>
  </si>
  <si>
    <t>Kabhra, Uttarakhand 263139</t>
  </si>
  <si>
    <t>By trying it out myself (doing it hands-on)</t>
  </si>
  <si>
    <t>Try again by myself</t>
  </si>
  <si>
    <t>Doing experiments or hands-on work</t>
  </si>
  <si>
    <t>School or teacher</t>
  </si>
  <si>
    <t>Students’ readiness, motivation, and ability to learn independently and adaptively.</t>
  </si>
  <si>
    <t>Mayank Joshi</t>
  </si>
  <si>
    <t>Kabhra, Uttarakhand 263140</t>
  </si>
  <si>
    <t>Rarely</t>
  </si>
  <si>
    <t>Memorizing facts or answers</t>
  </si>
  <si>
    <t>Kartik</t>
  </si>
  <si>
    <t>Kabhra, Uttarakhand 263141</t>
  </si>
  <si>
    <t>Learning Preferences</t>
  </si>
  <si>
    <t>Response to Confusion</t>
  </si>
  <si>
    <t>Babita Arya</t>
  </si>
  <si>
    <t>Kabhra, Uttarakhand 263142</t>
  </si>
  <si>
    <t>Drawing, acting, or performing</t>
  </si>
  <si>
    <t>Only when I have to</t>
  </si>
  <si>
    <t>Home or family</t>
  </si>
  <si>
    <t>Class 8</t>
  </si>
  <si>
    <t>Class 9</t>
  </si>
  <si>
    <t>Class 10</t>
  </si>
  <si>
    <t>Kaushal</t>
  </si>
  <si>
    <t>Kabhra, Uttarakhand 263143</t>
  </si>
  <si>
    <t>Sometimes</t>
  </si>
  <si>
    <t>Divyanshi Bharti</t>
  </si>
  <si>
    <t>Kabhra, Uttarakhand 263144</t>
  </si>
  <si>
    <t>Jaya Arya</t>
  </si>
  <si>
    <t>Kabhra, Uttarakhand 263145</t>
  </si>
  <si>
    <t>Telling or listening to stories</t>
  </si>
  <si>
    <t>Manish Kapil</t>
  </si>
  <si>
    <t>Kabhra, Uttarakhand 263146</t>
  </si>
  <si>
    <t>Metric</t>
  </si>
  <si>
    <t>Laxmi Belwal</t>
  </si>
  <si>
    <t>Kabhra, Uttarakhand 263147</t>
  </si>
  <si>
    <r>
      <rPr>
        <rFont val="Calibri"/>
        <b/>
        <color theme="1"/>
      </rPr>
      <t xml:space="preserve">Class 8
</t>
    </r>
    <r>
      <rPr>
        <rFont val="Calibri"/>
        <b val="0"/>
        <i/>
        <color theme="1"/>
      </rPr>
      <t>N = 18</t>
    </r>
  </si>
  <si>
    <r>
      <rPr>
        <rFont val="Calibri"/>
        <b/>
        <color theme="1"/>
      </rPr>
      <t xml:space="preserve">Class 9
</t>
    </r>
    <r>
      <rPr>
        <rFont val="Calibri"/>
        <b val="0"/>
        <i/>
        <color theme="1"/>
      </rPr>
      <t>N = 10</t>
    </r>
  </si>
  <si>
    <r>
      <rPr>
        <rFont val="Calibri"/>
        <b/>
        <color theme="1"/>
      </rPr>
      <t xml:space="preserve">Class 10
</t>
    </r>
    <r>
      <rPr>
        <rFont val="Calibri"/>
        <b val="0"/>
        <i/>
        <color theme="1"/>
      </rPr>
      <t>N = 8</t>
    </r>
  </si>
  <si>
    <r>
      <rPr>
        <rFont val="Calibri"/>
        <b/>
        <color theme="1"/>
      </rPr>
      <t xml:space="preserve">School
</t>
    </r>
    <r>
      <rPr>
        <rFont val="Calibri"/>
        <b val="0"/>
        <i/>
        <color theme="1"/>
      </rPr>
      <t>N = 36</t>
    </r>
  </si>
  <si>
    <t>Explainer</t>
  </si>
  <si>
    <t>I’m not sure</t>
  </si>
  <si>
    <t>Strength</t>
  </si>
  <si>
    <t>Curiosity Index (%)</t>
  </si>
  <si>
    <t>Harshit</t>
  </si>
  <si>
    <t>Kabhra, Uttarakhand 263148</t>
  </si>
  <si>
    <t>Friends or classmates</t>
  </si>
  <si>
    <t>Ayushi Singh Rawat</t>
  </si>
  <si>
    <t>Kabhra, Uttarakhand 263149</t>
  </si>
  <si>
    <r>
      <rPr>
        <rFont val="Calibri"/>
        <color theme="1"/>
        <sz val="9.0"/>
      </rPr>
      <t xml:space="preserve">
</t>
    </r>
    <r>
      <rPr>
        <rFont val="Calibri"/>
        <b/>
        <color theme="1"/>
        <sz val="9.0"/>
      </rPr>
      <t xml:space="preserve">% of students who very often ask questions in class or at home – indicates natural curiosity and willingness to inquire.
</t>
    </r>
    <r>
      <rPr>
        <rFont val="Calibri"/>
        <color theme="1"/>
        <sz val="9.0"/>
      </rPr>
      <t xml:space="preserve">
Q. How often do you ask questions in class or at home?
= [Very often responses] / [Grand Total]
</t>
    </r>
  </si>
  <si>
    <t>Self-Learning Index (%)</t>
  </si>
  <si>
    <t>Bhaskar Kumar</t>
  </si>
  <si>
    <t>Kabhra, Uttarakhand 263150</t>
  </si>
  <si>
    <r>
      <rPr>
        <rFont val="Calibri"/>
        <color theme="1"/>
        <sz val="9.0"/>
      </rPr>
      <t xml:space="preserve">
</t>
    </r>
    <r>
      <rPr>
        <rFont val="Calibri"/>
        <b/>
        <color theme="1"/>
        <sz val="9.0"/>
      </rPr>
      <t xml:space="preserve">% of students who always or sometimes try to find answers on their own – shows initiative and independence in learning.
</t>
    </r>
    <r>
      <rPr>
        <rFont val="Calibri"/>
        <color theme="1"/>
        <sz val="9.0"/>
      </rPr>
      <t xml:space="preserve">
Q. Do you try to find answers to your questions on your own?
= ([Always] + [Sometimes]) / [Grand Total]
</t>
    </r>
  </si>
  <si>
    <t>Frequency of Curiosity</t>
  </si>
  <si>
    <t>Preferred Engagement Styles</t>
  </si>
  <si>
    <t>Resilience Score (%)</t>
  </si>
  <si>
    <t>Prachi Bhandari</t>
  </si>
  <si>
    <t>Kabhra, Uttarakhand 263151</t>
  </si>
  <si>
    <r>
      <rPr>
        <rFont val="Calibri"/>
        <color theme="1"/>
        <sz val="9.0"/>
      </rPr>
      <t xml:space="preserve">
</t>
    </r>
    <r>
      <rPr>
        <rFont val="Calibri"/>
        <b/>
        <color theme="1"/>
        <sz val="9.0"/>
      </rPr>
      <t xml:space="preserve">% of students who either try again or ask someone for help when they don’t understand – reflects persistence and help-seeking behavior.
</t>
    </r>
    <r>
      <rPr>
        <rFont val="Calibri"/>
        <color theme="1"/>
        <sz val="9.0"/>
      </rPr>
      <t xml:space="preserve">
Q. What do you do when you don't understand something?
= ([Try again + Ask for help]) / [Total responses]
</t>
    </r>
  </si>
  <si>
    <t>Cultural Learning Index (%)</t>
  </si>
  <si>
    <t>Piyush Arya</t>
  </si>
  <si>
    <t>Kabhra, Uttarakhand 263152</t>
  </si>
  <si>
    <r>
      <rPr>
        <rFont val="Calibri"/>
        <color theme="1"/>
        <sz val="9.0"/>
      </rPr>
      <t xml:space="preserve">
</t>
    </r>
    <r>
      <rPr>
        <rFont val="Calibri"/>
        <b/>
        <color theme="1"/>
        <sz val="9.0"/>
      </rPr>
      <t xml:space="preserve">% of students who say they learn most from home/family or friends – highlights the role of informal, social, or cultural learning sources.
</t>
    </r>
    <r>
      <rPr>
        <rFont val="Calibri"/>
        <color theme="1"/>
        <sz val="9.0"/>
      </rPr>
      <t xml:space="preserve">
Q. Where do you think you learn the most from?
= ([Home/family + Friends]) / [Total responses]
</t>
    </r>
  </si>
  <si>
    <t>What can be done right away for each metric without incurring any additional expense?</t>
  </si>
  <si>
    <t>What kind of a systemic change is needed between school and students?</t>
  </si>
  <si>
    <t>Engagement Diversity Score</t>
  </si>
  <si>
    <t>A score from 0–1 showing the spread of student preferences across different learning activities – greater diversity suggests broader engagement.</t>
  </si>
  <si>
    <t>Ujjwal</t>
  </si>
  <si>
    <t>Kabhra, Uttarakhand 263153</t>
  </si>
  <si>
    <t>Combined Score (weighted averages)</t>
  </si>
  <si>
    <t>((Class 8 Score × Class 8 Strength) + (Class 9 Score × Class 9 Strength) + (Class 10 Score × Class 10 Strength)) ÷ Total Strength</t>
  </si>
  <si>
    <t>Learnability Composite (%)</t>
  </si>
  <si>
    <t>Chandra Bhanu</t>
  </si>
  <si>
    <t>Kabhra, Uttarakhand 263154</t>
  </si>
  <si>
    <t>The average of all above scores – a holistic indicator of students’ readiness, motivation, and ability to learn independently and adaptively.</t>
  </si>
  <si>
    <t>Indra Tamta</t>
  </si>
  <si>
    <t>Kabhra, Uttarakhand 263155</t>
  </si>
  <si>
    <t>Never</t>
  </si>
  <si>
    <t>Tanuja Bisht</t>
  </si>
  <si>
    <t>Kabhra, Uttarakhand 263156</t>
  </si>
  <si>
    <t>Tarun Raikwal</t>
  </si>
  <si>
    <t>Kabhra, Uttarakhand 263157</t>
  </si>
  <si>
    <t>Priyanshu Kapil</t>
  </si>
  <si>
    <t>Kabhra, Uttarakhand 263158</t>
  </si>
  <si>
    <t>Rahul Kumar</t>
  </si>
  <si>
    <t>Kabhra, Uttarakhand 263159</t>
  </si>
  <si>
    <t>Self-Initiated Learning Attempts</t>
  </si>
  <si>
    <t xml:space="preserve">Primary Learning Sources </t>
  </si>
  <si>
    <t>Tanushka</t>
  </si>
  <si>
    <t>Kabhra, Uttarakhand 263160</t>
  </si>
  <si>
    <t>Sumit Pandey</t>
  </si>
  <si>
    <t>Kabhra, Uttarakhand 263161</t>
  </si>
  <si>
    <t>Raunak Joshi</t>
  </si>
  <si>
    <t>Kabhra, Uttarakhand 263162</t>
  </si>
  <si>
    <t>Yogita</t>
  </si>
  <si>
    <t>Kabhra, Uttarakhand 263163</t>
  </si>
  <si>
    <t>Aditya Negi</t>
  </si>
  <si>
    <t>Kabhra, Uttarakhand 263164</t>
  </si>
  <si>
    <t>Umesh Bisht</t>
  </si>
  <si>
    <t>Kabhra, Uttarakhand 263165</t>
  </si>
  <si>
    <t>Internet or books</t>
  </si>
  <si>
    <t>Akshita</t>
  </si>
  <si>
    <t>Kabhra, Uttarakhand 263166</t>
  </si>
  <si>
    <t>Dhruvi</t>
  </si>
  <si>
    <t>Kabhra, Uttarakhand 263167</t>
  </si>
  <si>
    <t>Bharti</t>
  </si>
  <si>
    <t>Kabhra, Uttarakhand 263168</t>
  </si>
  <si>
    <t>Karan Kabadwal</t>
  </si>
  <si>
    <t>Kabhra, Uttarakhand 263169</t>
  </si>
  <si>
    <t>Neha Joshi</t>
  </si>
  <si>
    <t>Kabhra, Uttarakhand 263170</t>
  </si>
  <si>
    <t>Rakshita Arya</t>
  </si>
  <si>
    <t>Kabhra, Uttarakhand 263171</t>
  </si>
  <si>
    <t>Aastha Bisht</t>
  </si>
  <si>
    <t>Kabhra, Uttarakhand 263172</t>
  </si>
  <si>
    <t>Priyanshi Bisht</t>
  </si>
  <si>
    <t>Kabhra, Uttarakhand 263173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</si>
</sst>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Cambria"/>
    </font>
    <font>
      <sz val="9.0"/>
      <color theme="1"/>
      <name val="Cambria"/>
    </font>
    <font>
      <color theme="1"/>
      <name val="Arial"/>
      <scheme val="minor"/>
    </font>
    <font>
      <color theme="1"/>
      <name val="Calibri"/>
    </font>
    <font>
      <b/>
      <i/>
      <color theme="1"/>
      <name val="Arial"/>
    </font>
    <font>
      <b/>
      <i/>
      <sz val="11.0"/>
      <color rgb="FF4C1130"/>
      <name val="Arial"/>
    </font>
    <font>
      <b/>
      <i/>
      <color rgb="FF20124D"/>
      <name val="Arial"/>
    </font>
    <font>
      <b/>
      <sz val="11.0"/>
      <color theme="1"/>
      <name val="Cambria"/>
    </font>
    <font>
      <sz val="11.0"/>
      <color theme="1"/>
      <name val="Cambria"/>
    </font>
    <font>
      <b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i/>
      <color rgb="FF073763"/>
      <name val="Arial"/>
    </font>
    <font>
      <b/>
      <i/>
      <color rgb="FF0C343D"/>
      <name val="Arial"/>
    </font>
    <font>
      <i/>
      <color theme="1"/>
      <name val="Calibri"/>
    </font>
    <font/>
    <font>
      <b/>
      <i/>
      <color rgb="FF274E13"/>
      <name val="Arial"/>
    </font>
    <font>
      <b/>
      <i/>
      <color rgb="FF7F6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9DAF8"/>
      </left>
      <right style="thin">
        <color rgb="FFC9DAF8"/>
      </right>
      <top style="thin">
        <color rgb="FFC9DAF8"/>
      </top>
    </border>
    <border>
      <left style="thin">
        <color rgb="FFD9EAD3"/>
      </left>
      <right style="thin">
        <color rgb="FFD9EAD3"/>
      </right>
      <top style="thin">
        <color rgb="FFD9EAD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AF8"/>
      </left>
      <top style="thin">
        <color rgb="FFC9DAF8"/>
      </top>
      <bottom style="thin">
        <color rgb="FFC9DAF8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top style="thin">
        <color rgb="FFC9DAF8"/>
      </top>
      <bottom style="thin">
        <color rgb="FFC9DAF8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5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2" fontId="6" numFmtId="0" xfId="0" applyAlignment="1" applyFill="1" applyFont="1">
      <alignment horizontal="center" vertical="center"/>
    </xf>
    <xf borderId="0" fillId="3" fontId="7" numFmtId="0" xfId="0" applyAlignment="1" applyFill="1" applyFont="1">
      <alignment horizontal="center" vertical="center"/>
    </xf>
    <xf borderId="0" fillId="4" fontId="8" numFmtId="0" xfId="0" applyAlignment="1" applyFill="1" applyFont="1">
      <alignment horizontal="center" vertical="center"/>
    </xf>
    <xf borderId="2" fillId="0" fontId="9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right" shrinkToFit="0" vertical="center" wrapText="1"/>
    </xf>
    <xf borderId="3" fillId="0" fontId="1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right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righ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5" numFmtId="0" xfId="0" applyFont="1"/>
    <xf borderId="0" fillId="0" fontId="13" numFmtId="0" xfId="0" applyFont="1"/>
    <xf borderId="5" fillId="0" fontId="11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 vertical="center"/>
    </xf>
    <xf borderId="5" fillId="0" fontId="11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" fillId="0" fontId="11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5" fontId="15" numFmtId="0" xfId="0" applyAlignment="1" applyFill="1" applyFont="1">
      <alignment horizontal="center" vertical="center"/>
    </xf>
    <xf borderId="0" fillId="6" fontId="16" numFmtId="0" xfId="0" applyAlignment="1" applyFill="1" applyFont="1">
      <alignment horizontal="center" vertical="center"/>
    </xf>
    <xf borderId="7" fillId="0" fontId="11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right"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right" shrinkToFit="0" vertical="center" wrapText="1"/>
    </xf>
    <xf borderId="10" fillId="5" fontId="17" numFmtId="0" xfId="0" applyAlignment="1" applyBorder="1" applyFont="1">
      <alignment shrinkToFit="0" vertical="top" wrapText="1"/>
    </xf>
    <xf borderId="10" fillId="4" fontId="17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13" numFmtId="0" xfId="0" applyAlignment="1" applyFont="1">
      <alignment horizontal="left" shrinkToFit="0" vertical="center" wrapText="1"/>
    </xf>
    <xf borderId="11" fillId="0" fontId="11" numFmtId="0" xfId="0" applyAlignment="1" applyBorder="1" applyFont="1">
      <alignment shrinkToFit="0" vertical="center" wrapText="1"/>
    </xf>
    <xf borderId="12" fillId="0" fontId="18" numFmtId="0" xfId="0" applyBorder="1" applyFont="1"/>
    <xf borderId="11" fillId="0" fontId="5" numFmtId="0" xfId="0" applyAlignment="1" applyBorder="1" applyFont="1">
      <alignment shrinkToFit="0" vertical="center" wrapText="1"/>
    </xf>
    <xf borderId="13" fillId="0" fontId="18" numFmtId="0" xfId="0" applyBorder="1" applyFont="1"/>
    <xf borderId="5" fillId="0" fontId="5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right" shrinkToFit="0" vertical="center" wrapText="1"/>
    </xf>
    <xf borderId="0" fillId="7" fontId="19" numFmtId="0" xfId="0" applyAlignment="1" applyFill="1" applyFont="1">
      <alignment horizontal="center" vertical="center"/>
    </xf>
    <xf borderId="0" fillId="8" fontId="20" numFmtId="0" xfId="0" applyAlignment="1" applyFill="1" applyFont="1">
      <alignment horizontal="center" vertical="center"/>
    </xf>
    <xf borderId="6" fillId="0" fontId="11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right" shrinkToFit="0" vertical="center" wrapText="1"/>
    </xf>
    <xf borderId="14" fillId="0" fontId="11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right" shrinkToFit="0" vertical="center" wrapText="1"/>
    </xf>
    <xf borderId="6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spon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Tahoma"/>
              </a:defRPr>
            </a:pPr>
            <a:r>
              <a:rPr b="0" i="0">
                <a:solidFill>
                  <a:srgbClr val="757575"/>
                </a:solidFill>
                <a:latin typeface="Tahoma"/>
              </a:rPr>
              <a:t>Learnability Composite (%)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'Learnability Scorecard'!$B$7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'Learnability Scorecard'!$C$9:$F$9</c:f>
            </c:strRef>
          </c:cat>
          <c:val>
            <c:numRef>
              <c:f>'Learnability Scorecard'!$C$7:$F$7</c:f>
              <c:numCache/>
            </c:numRef>
          </c:val>
        </c:ser>
        <c:ser>
          <c:idx val="1"/>
          <c:order val="1"/>
          <c:tx>
            <c:strRef>
              <c:f>'Learnability Scorecard'!$B$10</c:f>
            </c:strRef>
          </c:tx>
          <c:spPr>
            <a:solidFill>
              <a:srgbClr val="EFEFE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Learnability Composite (%)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'Learnability Scorecard'!$C$9:$F$9</c:f>
            </c:strRef>
          </c:cat>
          <c:val>
            <c:numRef>
              <c:f>'Learnability Scorecard'!$C$10:$F$10</c:f>
              <c:numCache/>
            </c:numRef>
          </c:val>
        </c:ser>
        <c:axId val="1735471240"/>
        <c:axId val="689412785"/>
      </c:bar3DChart>
      <c:catAx>
        <c:axId val="1735471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Tahoma"/>
                  </a:defRPr>
                </a:pPr>
                <a:r>
                  <a:rPr b="0" i="0">
                    <a:solidFill>
                      <a:srgbClr val="000000"/>
                    </a:solidFill>
                    <a:latin typeface="Tahoma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Tahoma"/>
              </a:defRPr>
            </a:pPr>
          </a:p>
        </c:txPr>
        <c:crossAx val="689412785"/>
      </c:catAx>
      <c:valAx>
        <c:axId val="689412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Tahoma"/>
                  </a:defRPr>
                </a:pPr>
                <a:r>
                  <a:rPr b="0" i="0">
                    <a:solidFill>
                      <a:srgbClr val="000000"/>
                    </a:solidFill>
                    <a:latin typeface="Tahoma"/>
                  </a:rPr>
                  <a:t>Learnability Composite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Tahoma"/>
              </a:defRPr>
            </a:pPr>
          </a:p>
        </c:txPr>
        <c:crossAx val="17354712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  <c:spPr>
    <a:solidFill>
      <a:srgbClr val="FFD96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12</xdr:row>
      <xdr:rowOff>133350</xdr:rowOff>
    </xdr:from>
    <xdr:ext cx="11353800" cy="4438650"/>
    <xdr:graphicFrame>
      <xdr:nvGraphicFramePr>
        <xdr:cNvPr id="48789909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K38" sheet="Responses"/>
  </cacheSource>
  <cacheFields>
    <cacheField name="Name" numFmtId="0">
      <sharedItems>
        <s v="Jyoti Bisht"/>
        <s v="Isha Sharma"/>
        <s v="Mayank Joshi"/>
        <s v="Kartik"/>
        <s v="Babita Arya"/>
        <s v="Kaushal"/>
        <s v="Divyanshi Bharti"/>
        <s v="Jaya Arya"/>
        <s v="Manish Kapil"/>
        <s v="Laxmi Belwal"/>
        <s v="Harshit"/>
        <s v="Ayushi Singh Rawat"/>
        <s v="Bhaskar Kumar"/>
        <s v="Prachi Bhandari"/>
        <s v="Piyush Arya"/>
        <s v="Ujjwal"/>
        <s v="Chandra Bhanu"/>
        <s v="Indra Tamta"/>
        <s v="Tanuja Bisht"/>
        <s v="Tarun Raikwal"/>
        <s v="Priyanshu Kapil"/>
        <s v="Rahul Kumar"/>
        <s v="Tanushka"/>
        <s v="Sumit Pandey"/>
        <s v="Raunak Joshi"/>
        <s v="Yogita"/>
        <s v="Aditya Negi"/>
        <s v="Umesh Bisht"/>
        <s v="Akshita"/>
        <s v="Dhruvi"/>
        <s v="Bharti"/>
        <s v="Karan Kabadwal"/>
        <s v="Neha Joshi"/>
        <s v="Rakshita Arya"/>
        <s v="Aastha Bisht"/>
        <s v="Priyanshi Bisht"/>
      </sharedItems>
    </cacheField>
    <cacheField name="School" numFmtId="0">
      <sharedItems>
        <s v="Aarohi Bal Sansar"/>
      </sharedItems>
    </cacheField>
    <cacheField name="Location" numFmtId="0">
      <sharedItems>
        <s v="Kabhra, Uttarakhand 263138"/>
        <s v="Kabhra, Uttarakhand 263139"/>
        <s v="Kabhra, Uttarakhand 263140"/>
        <s v="Kabhra, Uttarakhand 263141"/>
        <s v="Kabhra, Uttarakhand 263142"/>
        <s v="Kabhra, Uttarakhand 263143"/>
        <s v="Kabhra, Uttarakhand 263144"/>
        <s v="Kabhra, Uttarakhand 263145"/>
        <s v="Kabhra, Uttarakhand 263146"/>
        <s v="Kabhra, Uttarakhand 263147"/>
        <s v="Kabhra, Uttarakhand 263148"/>
        <s v="Kabhra, Uttarakhand 263149"/>
        <s v="Kabhra, Uttarakhand 263150"/>
        <s v="Kabhra, Uttarakhand 263151"/>
        <s v="Kabhra, Uttarakhand 263152"/>
        <s v="Kabhra, Uttarakhand 263153"/>
        <s v="Kabhra, Uttarakhand 263154"/>
        <s v="Kabhra, Uttarakhand 263155"/>
        <s v="Kabhra, Uttarakhand 263156"/>
        <s v="Kabhra, Uttarakhand 263157"/>
        <s v="Kabhra, Uttarakhand 263158"/>
        <s v="Kabhra, Uttarakhand 263159"/>
        <s v="Kabhra, Uttarakhand 263160"/>
        <s v="Kabhra, Uttarakhand 263161"/>
        <s v="Kabhra, Uttarakhand 263162"/>
        <s v="Kabhra, Uttarakhand 263163"/>
        <s v="Kabhra, Uttarakhand 263164"/>
        <s v="Kabhra, Uttarakhand 263165"/>
        <s v="Kabhra, Uttarakhand 263166"/>
        <s v="Kabhra, Uttarakhand 263167"/>
        <s v="Kabhra, Uttarakhand 263168"/>
        <s v="Kabhra, Uttarakhand 263169"/>
        <s v="Kabhra, Uttarakhand 263170"/>
        <s v="Kabhra, Uttarakhand 263171"/>
        <s v="Kabhra, Uttarakhand 263172"/>
        <s v="Kabhra, Uttarakhand 263173"/>
      </sharedItems>
    </cacheField>
    <cacheField name="Class" numFmtId="0">
      <sharedItems containsSemiMixedTypes="0" containsString="0" containsNumber="1" containsInteger="1">
        <n v="9.0"/>
        <n v="8.0"/>
        <n v="10.0"/>
      </sharedItems>
    </cacheField>
    <cacheField name="How do you prefer to learn something new?" numFmtId="0">
      <sharedItems>
        <s v="By watching a video or demonstration"/>
        <s v="By trying it out myself (doing it hands-on)"/>
        <s v="By listening to someone explain"/>
        <s v="By reading a book or text"/>
      </sharedItems>
    </cacheField>
    <cacheField name="What do you do when you don't understand something?" numFmtId="0">
      <sharedItems>
        <s v="Search online or in a book"/>
        <s v="Try again by myself"/>
        <s v="Ask a teacher, parent, or friend"/>
        <s v="Leave it and do something else"/>
      </sharedItems>
    </cacheField>
    <cacheField name="How often do you ask questions in class or at home?" numFmtId="0">
      <sharedItems>
        <s v="Very often"/>
        <s v="Rarely"/>
        <s v="Sometimes"/>
      </sharedItems>
    </cacheField>
    <cacheField name="What kind of activity do you enjoy the most while learning?" numFmtId="0">
      <sharedItems>
        <s v="Solving puzzles or logical questions"/>
        <s v="Doing experiments or hands-on work"/>
        <s v="Memorizing facts or answers"/>
        <s v="Drawing, acting, or performing"/>
        <s v="Telling or listening to stories"/>
      </sharedItems>
    </cacheField>
    <cacheField name="Do you try to find answers to your questions on your own?" numFmtId="0">
      <sharedItems>
        <s v="Always"/>
        <s v="Only when I have to"/>
        <s v="Sometimes"/>
      </sharedItems>
    </cacheField>
    <cacheField name="Where do you think you learn the most from?" numFmtId="0">
      <sharedItems>
        <s v="Personal experiences (doing and observing)"/>
        <s v="School or teacher"/>
        <s v="Home or family"/>
        <s v="Friends or classmat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earning Preferences" cacheId="0" dataCaption="" compact="0" compactData="0">
  <location ref="A1:E7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chool" compact="0" outline="0" multipleItemSelectionAllowed="1" showAll="0">
      <items>
        <item x="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" axis="axisCol" compact="0" outline="0" multipleItemSelectionAllowed="1" showAll="0" sortType="ascending">
      <items>
        <item x="1"/>
        <item x="0"/>
        <item x="2"/>
        <item t="default"/>
      </items>
    </pivotField>
    <pivotField name="How do you prefer to learn something new?" axis="axisRow" dataField="1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hat do you do when you don't understand something?" compact="0" outline="0" multipleItemSelectionAllowed="1" showAll="0">
      <items>
        <item x="0"/>
        <item x="1"/>
        <item x="2"/>
        <item x="3"/>
        <item t="default"/>
      </items>
    </pivotField>
    <pivotField name="How often do you ask questions in class or at home?" compact="0" outline="0" multipleItemSelectionAllowed="1" showAll="0">
      <items>
        <item x="0"/>
        <item x="1"/>
        <item x="2"/>
        <item t="default"/>
      </items>
    </pivotField>
    <pivotField name="What kind of activity do you enjoy the most while learn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try to find answers to your questions on your own?" compact="0" outline="0" multipleItemSelectionAllowed="1" showAll="0">
      <items>
        <item x="0"/>
        <item x="1"/>
        <item x="2"/>
        <item t="default"/>
      </items>
    </pivotField>
    <pivotField name="Where do you think you learn the most from?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3"/>
  </colFields>
  <dataFields>
    <dataField name="COUNT" fld="4" subtotal="count" baseField="0"/>
  </dataFields>
</pivotTableDefinition>
</file>

<file path=xl/pivotTables/pivotTable2.xml><?xml version="1.0" encoding="utf-8"?>
<pivotTableDefinition xmlns="http://schemas.openxmlformats.org/spreadsheetml/2006/main" name="Responses to Confusion" cacheId="0" dataCaption="" compact="0" compactData="0">
  <location ref="A1:E7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chool" compact="0" outline="0" multipleItemSelectionAllowed="1" showAll="0">
      <items>
        <item x="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" axis="axisCol" compact="0" outline="0" multipleItemSelectionAllowed="1" showAll="0" sortType="ascending">
      <items>
        <item x="1"/>
        <item x="0"/>
        <item x="2"/>
        <item t="default"/>
      </items>
    </pivotField>
    <pivotField name="How do you prefer to learn something new?" compact="0" outline="0" multipleItemSelectionAllowed="1" showAll="0">
      <items>
        <item x="0"/>
        <item x="1"/>
        <item x="2"/>
        <item x="3"/>
        <item t="default"/>
      </items>
    </pivotField>
    <pivotField name="What do you do when you don't understand something?" axis="axisRow" dataField="1" compact="0" outline="0" multipleItemSelectionAllowed="1" showAll="0" sortType="ascending">
      <items>
        <item x="2"/>
        <item x="3"/>
        <item x="0"/>
        <item x="1"/>
        <item t="default"/>
      </items>
    </pivotField>
    <pivotField name="How often do you ask questions in class or at home?" compact="0" outline="0" multipleItemSelectionAllowed="1" showAll="0">
      <items>
        <item x="0"/>
        <item x="1"/>
        <item x="2"/>
        <item t="default"/>
      </items>
    </pivotField>
    <pivotField name="What kind of activity do you enjoy the most while learn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try to find answers to your questions on your own?" compact="0" outline="0" multipleItemSelectionAllowed="1" showAll="0">
      <items>
        <item x="0"/>
        <item x="1"/>
        <item x="2"/>
        <item t="default"/>
      </items>
    </pivotField>
    <pivotField name="Where do you think you learn the most from?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3"/>
  </colFields>
  <dataFields>
    <dataField name="COUNT" fld="5" subtotal="count" baseField="0"/>
  </dataFields>
</pivotTableDefinition>
</file>

<file path=xl/pivotTables/pivotTable3.xml><?xml version="1.0" encoding="utf-8"?>
<pivotTableDefinition xmlns="http://schemas.openxmlformats.org/spreadsheetml/2006/main" name="Frequency of Curiosity" cacheId="0" dataCaption="" compact="0" compactData="0">
  <location ref="A1:E6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chool" compact="0" outline="0" multipleItemSelectionAllowed="1" showAll="0">
      <items>
        <item x="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" axis="axisCol" compact="0" outline="0" multipleItemSelectionAllowed="1" showAll="0" sortType="ascending">
      <items>
        <item x="1"/>
        <item x="0"/>
        <item x="2"/>
        <item t="default"/>
      </items>
    </pivotField>
    <pivotField name="How do you prefer to learn something new?" compact="0" outline="0" multipleItemSelectionAllowed="1" showAll="0">
      <items>
        <item x="0"/>
        <item x="1"/>
        <item x="2"/>
        <item x="3"/>
        <item t="default"/>
      </items>
    </pivotField>
    <pivotField name="What do you do when you don't understand something?" compact="0" outline="0" multipleItemSelectionAllowed="1" showAll="0">
      <items>
        <item x="0"/>
        <item x="1"/>
        <item x="2"/>
        <item x="3"/>
        <item t="default"/>
      </items>
    </pivotField>
    <pivotField name="How often do you ask questions in class or at home?" axis="axisRow" dataField="1" compact="0" outline="0" multipleItemSelectionAllowed="1" showAll="0" sortType="ascending">
      <items>
        <item x="1"/>
        <item x="2"/>
        <item x="0"/>
        <item t="default"/>
      </items>
    </pivotField>
    <pivotField name="What kind of activity do you enjoy the most while learn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try to find answers to your questions on your own?" compact="0" outline="0" multipleItemSelectionAllowed="1" showAll="0">
      <items>
        <item x="0"/>
        <item x="1"/>
        <item x="2"/>
        <item t="default"/>
      </items>
    </pivotField>
    <pivotField name="Where do you think you learn the most from?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colFields>
    <field x="3"/>
  </colFields>
  <dataFields>
    <dataField name="COUNT" fld="6" subtotal="count" baseField="0"/>
  </dataFields>
</pivotTableDefinition>
</file>

<file path=xl/pivotTables/pivotTable4.xml><?xml version="1.0" encoding="utf-8"?>
<pivotTableDefinition xmlns="http://schemas.openxmlformats.org/spreadsheetml/2006/main" name="Preferred Engagement Styles" cacheId="0" dataCaption="" compact="0" compactData="0">
  <location ref="A1:E8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chool" compact="0" outline="0" multipleItemSelectionAllowed="1" showAll="0">
      <items>
        <item x="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" axis="axisCol" compact="0" outline="0" multipleItemSelectionAllowed="1" showAll="0" sortType="ascending">
      <items>
        <item x="1"/>
        <item x="0"/>
        <item x="2"/>
        <item t="default"/>
      </items>
    </pivotField>
    <pivotField name="How do you prefer to learn something new?" compact="0" outline="0" multipleItemSelectionAllowed="1" showAll="0">
      <items>
        <item x="0"/>
        <item x="1"/>
        <item x="2"/>
        <item x="3"/>
        <item t="default"/>
      </items>
    </pivotField>
    <pivotField name="What do you do when you don't understand something?" compact="0" outline="0" multipleItemSelectionAllowed="1" showAll="0">
      <items>
        <item x="0"/>
        <item x="1"/>
        <item x="2"/>
        <item x="3"/>
        <item t="default"/>
      </items>
    </pivotField>
    <pivotField name="How often do you ask questions in class or at home?" compact="0" outline="0" multipleItemSelectionAllowed="1" showAll="0">
      <items>
        <item x="0"/>
        <item x="1"/>
        <item x="2"/>
        <item t="default"/>
      </items>
    </pivotField>
    <pivotField name="What kind of activity do you enjoy the most while learning?" axis="axisRow" dataField="1" compact="0" outline="0" multipleItemSelectionAllowed="1" showAll="0" sortType="ascending">
      <items>
        <item x="1"/>
        <item x="3"/>
        <item x="2"/>
        <item x="0"/>
        <item x="4"/>
        <item t="default"/>
      </items>
    </pivotField>
    <pivotField name="Do you try to find answers to your questions on your own?" compact="0" outline="0" multipleItemSelectionAllowed="1" showAll="0">
      <items>
        <item x="0"/>
        <item x="1"/>
        <item x="2"/>
        <item t="default"/>
      </items>
    </pivotField>
    <pivotField name="Where do you think you learn the most from?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colFields>
    <field x="3"/>
  </colFields>
  <dataFields>
    <dataField name="COUNT" fld="7" subtotal="count" baseField="0"/>
  </dataFields>
</pivotTableDefinition>
</file>

<file path=xl/pivotTables/pivotTable5.xml><?xml version="1.0" encoding="utf-8"?>
<pivotTableDefinition xmlns="http://schemas.openxmlformats.org/spreadsheetml/2006/main" name="Self-Initiated Learning Attempt" cacheId="0" dataCaption="" compact="0" compactData="0">
  <location ref="A1:E6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chool" compact="0" outline="0" multipleItemSelectionAllowed="1" showAll="0">
      <items>
        <item x="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" axis="axisCol" compact="0" outline="0" multipleItemSelectionAllowed="1" showAll="0" sortType="ascending">
      <items>
        <item x="1"/>
        <item x="0"/>
        <item x="2"/>
        <item t="default"/>
      </items>
    </pivotField>
    <pivotField name="How do you prefer to learn something new?" compact="0" outline="0" multipleItemSelectionAllowed="1" showAll="0">
      <items>
        <item x="0"/>
        <item x="1"/>
        <item x="2"/>
        <item x="3"/>
        <item t="default"/>
      </items>
    </pivotField>
    <pivotField name="What do you do when you don't understand something?" compact="0" outline="0" multipleItemSelectionAllowed="1" showAll="0">
      <items>
        <item x="0"/>
        <item x="1"/>
        <item x="2"/>
        <item x="3"/>
        <item t="default"/>
      </items>
    </pivotField>
    <pivotField name="How often do you ask questions in class or at home?" compact="0" outline="0" multipleItemSelectionAllowed="1" showAll="0">
      <items>
        <item x="0"/>
        <item x="1"/>
        <item x="2"/>
        <item t="default"/>
      </items>
    </pivotField>
    <pivotField name="What kind of activity do you enjoy the most while learn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try to find answers to your questions on your own?" axis="axisRow" dataField="1" compact="0" outline="0" multipleItemSelectionAllowed="1" showAll="0" sortType="ascending">
      <items>
        <item x="0"/>
        <item x="1"/>
        <item x="2"/>
        <item t="default"/>
      </items>
    </pivotField>
    <pivotField name="Where do you think you learn the most from?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8"/>
  </rowFields>
  <colFields>
    <field x="3"/>
  </colFields>
  <dataFields>
    <dataField name="COUNT" fld="8" subtotal="count" baseField="0"/>
  </dataFields>
</pivotTableDefinition>
</file>

<file path=xl/pivotTables/pivotTable6.xml><?xml version="1.0" encoding="utf-8"?>
<pivotTableDefinition xmlns="http://schemas.openxmlformats.org/spreadsheetml/2006/main" name="Primary Learning Sources " cacheId="0" dataCaption="" compact="0" compactData="0">
  <location ref="A1:E7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chool" compact="0" outline="0" multipleItemSelectionAllowed="1" showAll="0">
      <items>
        <item x="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" axis="axisCol" compact="0" outline="0" multipleItemSelectionAllowed="1" showAll="0" sortType="ascending">
      <items>
        <item x="1"/>
        <item x="0"/>
        <item x="2"/>
        <item t="default"/>
      </items>
    </pivotField>
    <pivotField name="How do you prefer to learn something new?" compact="0" outline="0" multipleItemSelectionAllowed="1" showAll="0">
      <items>
        <item x="0"/>
        <item x="1"/>
        <item x="2"/>
        <item x="3"/>
        <item t="default"/>
      </items>
    </pivotField>
    <pivotField name="What do you do when you don't understand something?" compact="0" outline="0" multipleItemSelectionAllowed="1" showAll="0">
      <items>
        <item x="0"/>
        <item x="1"/>
        <item x="2"/>
        <item x="3"/>
        <item t="default"/>
      </items>
    </pivotField>
    <pivotField name="How often do you ask questions in class or at home?" compact="0" outline="0" multipleItemSelectionAllowed="1" showAll="0">
      <items>
        <item x="0"/>
        <item x="1"/>
        <item x="2"/>
        <item t="default"/>
      </items>
    </pivotField>
    <pivotField name="What kind of activity do you enjoy the most while learn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try to find answers to your questions on your own?" compact="0" outline="0" multipleItemSelectionAllowed="1" showAll="0">
      <items>
        <item x="0"/>
        <item x="1"/>
        <item x="2"/>
        <item t="default"/>
      </items>
    </pivotField>
    <pivotField name="Where do you think you learn the most from?" axis="axisRow" dataField="1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9"/>
  </rowFields>
  <colFields>
    <field x="3"/>
  </colFields>
  <dataFields>
    <dataField name="COUNT" fld="9" subtotal="count" baseField="0"/>
  </dataFields>
</pivotTableDefinition>
</file>

<file path=xl/tables/table1.xml><?xml version="1.0" encoding="utf-8"?>
<table xmlns="http://schemas.openxmlformats.org/spreadsheetml/2006/main" ref="B2:K38" displayName="Table_1" name="Table_1" id="1">
  <tableColumns count="10">
    <tableColumn name="Name" id="1"/>
    <tableColumn name="School" id="2"/>
    <tableColumn name="Location" id="3"/>
    <tableColumn name="Class" id="4"/>
    <tableColumn name="How do you prefer to learn something new?" id="5"/>
    <tableColumn name="What do you do when you don't understand something?" id="6"/>
    <tableColumn name="How often do you ask questions in class or at home?" id="7"/>
    <tableColumn name="What kind of activity do you enjoy the most while learning?" id="8"/>
    <tableColumn name="Do you try to find answers to your questions on your own?" id="9"/>
    <tableColumn name="Where do you think you learn the most from?" id="10"/>
  </tableColumns>
  <tableStyleInfo name="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3.13"/>
    <col customWidth="1" min="3" max="5" width="12.63"/>
    <col customWidth="1" min="6" max="6" width="21.63"/>
    <col customWidth="1" min="7" max="7" width="66.25"/>
  </cols>
  <sheetData>
    <row r="1" ht="15.75" customHeight="1">
      <c r="A1" s="24"/>
      <c r="B1" s="24"/>
      <c r="C1" s="24"/>
      <c r="D1" s="24"/>
      <c r="E1" s="24"/>
      <c r="F1" s="24"/>
      <c r="G1" s="25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26.25" customHeight="1">
      <c r="A2" s="24"/>
      <c r="B2" s="26" t="s">
        <v>58</v>
      </c>
      <c r="C2" s="27" t="s">
        <v>61</v>
      </c>
      <c r="D2" s="27" t="s">
        <v>62</v>
      </c>
      <c r="E2" s="27" t="s">
        <v>63</v>
      </c>
      <c r="F2" s="27" t="s">
        <v>64</v>
      </c>
      <c r="G2" s="28" t="s">
        <v>65</v>
      </c>
      <c r="H2" s="24"/>
      <c r="I2" s="29" t="s">
        <v>67</v>
      </c>
      <c r="J2" s="30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5.75" customHeight="1">
      <c r="A3" s="8"/>
      <c r="B3" s="31" t="s">
        <v>68</v>
      </c>
      <c r="C3" s="33">
        <f>(12/18)*100</f>
        <v>66.66666667</v>
      </c>
      <c r="D3" s="33">
        <f>(7/10)*100</f>
        <v>70</v>
      </c>
      <c r="E3" s="33">
        <f>(1/8)*100</f>
        <v>12.5</v>
      </c>
      <c r="F3" s="33">
        <f t="shared" ref="F3:F7" si="1">(C3*18 + D3*10 + E3*8)/36</f>
        <v>55.55555556</v>
      </c>
      <c r="G3" s="34" t="s">
        <v>74</v>
      </c>
      <c r="H3" s="8"/>
      <c r="I3" s="35" t="s">
        <v>45</v>
      </c>
      <c r="J3" s="36">
        <v>18.0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8"/>
      <c r="B4" s="31" t="s">
        <v>75</v>
      </c>
      <c r="C4" s="33">
        <f>(14/18)*100</f>
        <v>77.77777778</v>
      </c>
      <c r="D4" s="33">
        <f>(9/10)*100</f>
        <v>90</v>
      </c>
      <c r="E4" s="33">
        <f>(7/8)*100</f>
        <v>87.5</v>
      </c>
      <c r="F4" s="33">
        <f t="shared" si="1"/>
        <v>83.33333333</v>
      </c>
      <c r="G4" s="34" t="s">
        <v>78</v>
      </c>
      <c r="H4" s="8"/>
      <c r="I4" s="35" t="s">
        <v>46</v>
      </c>
      <c r="J4" s="36">
        <v>10.0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8"/>
      <c r="B5" s="31" t="s">
        <v>81</v>
      </c>
      <c r="C5" s="33">
        <f>(15/18)*100</f>
        <v>83.33333333</v>
      </c>
      <c r="D5" s="33">
        <f>(8/10)*100</f>
        <v>80</v>
      </c>
      <c r="E5" s="33">
        <f>(8/8)*100</f>
        <v>100</v>
      </c>
      <c r="F5" s="33">
        <f t="shared" si="1"/>
        <v>86.11111111</v>
      </c>
      <c r="G5" s="34" t="s">
        <v>84</v>
      </c>
      <c r="H5" s="8"/>
      <c r="I5" s="42" t="s">
        <v>47</v>
      </c>
      <c r="J5" s="43">
        <v>8.0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8"/>
      <c r="B6" s="31" t="s">
        <v>85</v>
      </c>
      <c r="C6" s="33">
        <f>(6/18)*100</f>
        <v>33.33333333</v>
      </c>
      <c r="D6" s="33">
        <f>(2/10)*100</f>
        <v>20</v>
      </c>
      <c r="E6" s="33">
        <f>(1/8)*100</f>
        <v>12.5</v>
      </c>
      <c r="F6" s="33">
        <f t="shared" si="1"/>
        <v>25</v>
      </c>
      <c r="G6" s="34" t="s">
        <v>88</v>
      </c>
      <c r="H6" s="8"/>
      <c r="I6" s="48" t="s">
        <v>89</v>
      </c>
      <c r="J6" s="49" t="s">
        <v>90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8"/>
      <c r="B7" s="31" t="s">
        <v>91</v>
      </c>
      <c r="C7" s="33">
        <f>4/5*100</f>
        <v>80</v>
      </c>
      <c r="D7" s="33">
        <f t="shared" ref="D7:E7" si="2">(3/5)*100</f>
        <v>60</v>
      </c>
      <c r="E7" s="33">
        <f t="shared" si="2"/>
        <v>60</v>
      </c>
      <c r="F7" s="33">
        <f t="shared" si="1"/>
        <v>70</v>
      </c>
      <c r="G7" s="34" t="s">
        <v>92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39.75" customHeight="1">
      <c r="A8" s="24"/>
      <c r="B8" s="53"/>
      <c r="C8" s="54"/>
      <c r="D8" s="54"/>
      <c r="E8" s="54"/>
      <c r="F8" s="54"/>
      <c r="G8" s="5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39.75" customHeight="1">
      <c r="A9" s="24"/>
      <c r="B9" s="26" t="s">
        <v>58</v>
      </c>
      <c r="C9" s="27" t="s">
        <v>45</v>
      </c>
      <c r="D9" s="27" t="s">
        <v>46</v>
      </c>
      <c r="E9" s="27" t="s">
        <v>47</v>
      </c>
      <c r="F9" s="27" t="s">
        <v>1</v>
      </c>
      <c r="G9" s="28" t="s">
        <v>65</v>
      </c>
      <c r="H9" s="24"/>
      <c r="I9" s="56" t="s">
        <v>95</v>
      </c>
      <c r="J9" s="57"/>
      <c r="K9" s="58" t="s">
        <v>96</v>
      </c>
      <c r="L9" s="59"/>
      <c r="M9" s="59"/>
      <c r="N9" s="59"/>
      <c r="O9" s="57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39.75" customHeight="1">
      <c r="A10" s="24"/>
      <c r="B10" s="26" t="s">
        <v>97</v>
      </c>
      <c r="C10" s="60">
        <f t="shared" ref="C10:F10" si="3">AVERAGE(C3:C7)</f>
        <v>68.22222222</v>
      </c>
      <c r="D10" s="60">
        <f t="shared" si="3"/>
        <v>64</v>
      </c>
      <c r="E10" s="60">
        <f t="shared" si="3"/>
        <v>54.5</v>
      </c>
      <c r="F10" s="60">
        <f t="shared" si="3"/>
        <v>64</v>
      </c>
      <c r="G10" s="34" t="s">
        <v>100</v>
      </c>
      <c r="H10" s="24"/>
      <c r="I10" s="24"/>
      <c r="J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24"/>
      <c r="B11" s="24"/>
      <c r="C11" s="24"/>
      <c r="D11" s="24"/>
      <c r="E11" s="24"/>
      <c r="F11" s="24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5.75" customHeight="1">
      <c r="A12" s="24"/>
      <c r="B12" s="61"/>
      <c r="C12" s="61"/>
      <c r="D12" s="61"/>
      <c r="E12" s="61"/>
      <c r="F12" s="61"/>
      <c r="G12" s="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63.75" customHeight="1">
      <c r="A13" s="62"/>
      <c r="B13" s="62"/>
      <c r="C13" s="62"/>
      <c r="D13" s="62"/>
      <c r="E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30.0" customHeight="1">
      <c r="A14" s="62"/>
      <c r="B14" s="62"/>
      <c r="C14" s="62"/>
      <c r="D14" s="62"/>
      <c r="E14" s="62"/>
      <c r="F14" s="24"/>
      <c r="G14" s="25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30.0" customHeight="1">
      <c r="A15" s="62"/>
      <c r="B15" s="62"/>
      <c r="C15" s="62"/>
      <c r="D15" s="62"/>
      <c r="E15" s="62"/>
      <c r="F15" s="62"/>
      <c r="G15" s="25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30.0" customHeight="1">
      <c r="A16" s="62"/>
      <c r="B16" s="62"/>
      <c r="C16" s="62"/>
      <c r="D16" s="62"/>
      <c r="E16" s="62"/>
      <c r="F16" s="62"/>
      <c r="G16" s="25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30.0" customHeight="1">
      <c r="A17" s="62"/>
      <c r="B17" s="62"/>
      <c r="C17" s="62"/>
      <c r="D17" s="62"/>
      <c r="E17" s="62"/>
      <c r="F17" s="62"/>
      <c r="G17" s="25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30.0" customHeight="1">
      <c r="A18" s="62"/>
      <c r="B18" s="62"/>
      <c r="C18" s="62"/>
      <c r="D18" s="62"/>
      <c r="E18" s="62"/>
      <c r="F18" s="62"/>
      <c r="G18" s="25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ht="15.75" customHeight="1">
      <c r="A19" s="24"/>
      <c r="B19" s="24"/>
      <c r="C19" s="24"/>
      <c r="D19" s="24"/>
      <c r="E19" s="24"/>
      <c r="F19" s="24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5.75" customHeight="1">
      <c r="A20" s="24"/>
      <c r="B20" s="24"/>
      <c r="C20" s="24"/>
      <c r="D20" s="24"/>
      <c r="E20" s="24"/>
      <c r="F20" s="24"/>
      <c r="G20" s="2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5.75" customHeight="1">
      <c r="A21" s="24"/>
      <c r="B21" s="24"/>
      <c r="C21" s="24"/>
      <c r="D21" s="24"/>
      <c r="E21" s="24"/>
      <c r="F21" s="24"/>
      <c r="G21" s="25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4"/>
      <c r="B22" s="24"/>
      <c r="C22" s="24"/>
      <c r="D22" s="24"/>
      <c r="E22" s="24"/>
      <c r="F22" s="24"/>
      <c r="G22" s="2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5.75" customHeight="1">
      <c r="A23" s="24"/>
      <c r="B23" s="24"/>
      <c r="C23" s="24"/>
      <c r="D23" s="24"/>
      <c r="E23" s="24"/>
      <c r="F23" s="24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5.75" customHeight="1">
      <c r="A24" s="24"/>
      <c r="B24" s="24"/>
      <c r="C24" s="24"/>
      <c r="D24" s="24"/>
      <c r="E24" s="24"/>
      <c r="F24" s="24"/>
      <c r="G24" s="2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5.75" customHeight="1">
      <c r="A25" s="24"/>
      <c r="B25" s="24"/>
      <c r="C25" s="24"/>
      <c r="D25" s="24"/>
      <c r="E25" s="24"/>
      <c r="F25" s="24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5.75" customHeight="1">
      <c r="A26" s="24"/>
      <c r="B26" s="24"/>
      <c r="C26" s="24"/>
      <c r="D26" s="24"/>
      <c r="E26" s="24"/>
      <c r="F26" s="24"/>
      <c r="G26" s="2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5.75" customHeight="1">
      <c r="A27" s="24"/>
      <c r="B27" s="24"/>
      <c r="C27" s="24"/>
      <c r="D27" s="24"/>
      <c r="E27" s="24"/>
      <c r="F27" s="24"/>
      <c r="G27" s="25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5.75" customHeight="1">
      <c r="A28" s="24"/>
      <c r="B28" s="24"/>
      <c r="C28" s="24"/>
      <c r="D28" s="24"/>
      <c r="E28" s="24"/>
      <c r="F28" s="24"/>
      <c r="G28" s="2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24"/>
      <c r="B29" s="24"/>
      <c r="C29" s="24"/>
      <c r="D29" s="24"/>
      <c r="E29" s="24"/>
      <c r="F29" s="24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5.75" customHeight="1">
      <c r="A30" s="24"/>
      <c r="B30" s="24"/>
      <c r="C30" s="24"/>
      <c r="D30" s="24"/>
      <c r="E30" s="24"/>
      <c r="F30" s="24"/>
      <c r="G30" s="2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5.75" customHeight="1">
      <c r="A31" s="24"/>
      <c r="B31" s="24"/>
      <c r="C31" s="24"/>
      <c r="D31" s="24"/>
      <c r="E31" s="24"/>
      <c r="F31" s="24"/>
      <c r="G31" s="2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5.75" customHeight="1">
      <c r="A32" s="24"/>
      <c r="B32" s="24"/>
      <c r="C32" s="24"/>
      <c r="D32" s="24"/>
      <c r="E32" s="24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24"/>
      <c r="B33" s="24"/>
      <c r="C33" s="24"/>
      <c r="D33" s="24"/>
      <c r="E33" s="24"/>
      <c r="F33" s="24"/>
      <c r="G33" s="2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5.75" customHeight="1">
      <c r="A34" s="24"/>
      <c r="B34" s="24"/>
      <c r="C34" s="24"/>
      <c r="D34" s="24"/>
      <c r="E34" s="24"/>
      <c r="F34" s="24"/>
      <c r="G34" s="25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5.75" customHeight="1">
      <c r="A35" s="24"/>
      <c r="B35" s="24"/>
      <c r="C35" s="24"/>
      <c r="D35" s="24"/>
      <c r="E35" s="24"/>
      <c r="F35" s="24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5.75" customHeight="1">
      <c r="A36" s="24"/>
      <c r="B36" s="24"/>
      <c r="C36" s="24"/>
      <c r="D36" s="24"/>
      <c r="E36" s="24"/>
      <c r="F36" s="24"/>
      <c r="G36" s="2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24"/>
      <c r="B37" s="24"/>
      <c r="C37" s="24"/>
      <c r="D37" s="24"/>
      <c r="E37" s="24"/>
      <c r="F37" s="24"/>
      <c r="G37" s="2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5.75" customHeight="1">
      <c r="A38" s="24"/>
      <c r="B38" s="24"/>
      <c r="C38" s="24"/>
      <c r="D38" s="24"/>
      <c r="E38" s="24"/>
      <c r="F38" s="24"/>
      <c r="G38" s="2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5.75" customHeight="1">
      <c r="A39" s="24"/>
      <c r="B39" s="24"/>
      <c r="C39" s="24"/>
      <c r="D39" s="24"/>
      <c r="E39" s="24"/>
      <c r="F39" s="24"/>
      <c r="G39" s="2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5.75" customHeight="1">
      <c r="A40" s="24"/>
      <c r="B40" s="24"/>
      <c r="C40" s="24"/>
      <c r="D40" s="24"/>
      <c r="E40" s="24"/>
      <c r="F40" s="24"/>
      <c r="G40" s="2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4"/>
      <c r="B41" s="24"/>
      <c r="C41" s="24"/>
      <c r="D41" s="24"/>
      <c r="E41" s="24"/>
      <c r="F41" s="24"/>
      <c r="G41" s="2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5.75" customHeight="1">
      <c r="A42" s="24"/>
      <c r="B42" s="24"/>
      <c r="C42" s="24"/>
      <c r="D42" s="24"/>
      <c r="E42" s="24"/>
      <c r="F42" s="24"/>
      <c r="G42" s="2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5.75" customHeight="1">
      <c r="A43" s="24"/>
      <c r="B43" s="24"/>
      <c r="C43" s="24"/>
      <c r="D43" s="24"/>
      <c r="E43" s="24"/>
      <c r="F43" s="24"/>
      <c r="G43" s="2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5.75" customHeight="1">
      <c r="A44" s="24"/>
      <c r="B44" s="24"/>
      <c r="C44" s="24"/>
      <c r="D44" s="24"/>
      <c r="E44" s="24"/>
      <c r="F44" s="24"/>
      <c r="G44" s="25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5.75" customHeight="1">
      <c r="A45" s="24"/>
      <c r="B45" s="24"/>
      <c r="C45" s="24"/>
      <c r="D45" s="24"/>
      <c r="E45" s="24"/>
      <c r="F45" s="24"/>
      <c r="G45" s="25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5.75" customHeight="1">
      <c r="A46" s="24"/>
      <c r="B46" s="24"/>
      <c r="C46" s="24"/>
      <c r="D46" s="24"/>
      <c r="E46" s="24"/>
      <c r="F46" s="24"/>
      <c r="G46" s="2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5.75" customHeight="1">
      <c r="A47" s="24"/>
      <c r="B47" s="24"/>
      <c r="C47" s="24"/>
      <c r="D47" s="24"/>
      <c r="E47" s="24"/>
      <c r="F47" s="24"/>
      <c r="G47" s="2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5.75" customHeight="1">
      <c r="A48" s="24"/>
      <c r="B48" s="24"/>
      <c r="C48" s="24"/>
      <c r="D48" s="24"/>
      <c r="E48" s="24"/>
      <c r="F48" s="24"/>
      <c r="G48" s="2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5.75" customHeight="1">
      <c r="A49" s="24"/>
      <c r="B49" s="24"/>
      <c r="C49" s="24"/>
      <c r="D49" s="24"/>
      <c r="E49" s="24"/>
      <c r="F49" s="24"/>
      <c r="G49" s="2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5.75" customHeight="1">
      <c r="A50" s="24"/>
      <c r="B50" s="24"/>
      <c r="C50" s="24"/>
      <c r="D50" s="24"/>
      <c r="E50" s="24"/>
      <c r="F50" s="24"/>
      <c r="G50" s="2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5.75" customHeight="1">
      <c r="A51" s="24"/>
      <c r="B51" s="24"/>
      <c r="C51" s="24"/>
      <c r="D51" s="24"/>
      <c r="E51" s="24"/>
      <c r="F51" s="24"/>
      <c r="G51" s="2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5.75" customHeight="1">
      <c r="A52" s="24"/>
      <c r="B52" s="24"/>
      <c r="C52" s="24"/>
      <c r="D52" s="24"/>
      <c r="E52" s="24"/>
      <c r="F52" s="24"/>
      <c r="G52" s="2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5.75" customHeight="1">
      <c r="A53" s="24"/>
      <c r="B53" s="24"/>
      <c r="C53" s="24"/>
      <c r="D53" s="24"/>
      <c r="E53" s="24"/>
      <c r="F53" s="24"/>
      <c r="G53" s="2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5.75" customHeight="1">
      <c r="A54" s="24"/>
      <c r="B54" s="24"/>
      <c r="C54" s="24"/>
      <c r="D54" s="24"/>
      <c r="E54" s="24"/>
      <c r="F54" s="24"/>
      <c r="G54" s="25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5.75" customHeight="1">
      <c r="A55" s="24"/>
      <c r="B55" s="24"/>
      <c r="C55" s="24"/>
      <c r="D55" s="24"/>
      <c r="E55" s="24"/>
      <c r="F55" s="24"/>
      <c r="G55" s="25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5.75" customHeight="1">
      <c r="A56" s="24"/>
      <c r="B56" s="24"/>
      <c r="C56" s="24"/>
      <c r="D56" s="24"/>
      <c r="E56" s="24"/>
      <c r="F56" s="24"/>
      <c r="G56" s="2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5.75" customHeight="1">
      <c r="A57" s="24"/>
      <c r="B57" s="24"/>
      <c r="C57" s="24"/>
      <c r="D57" s="24"/>
      <c r="E57" s="24"/>
      <c r="F57" s="24"/>
      <c r="G57" s="2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5.75" customHeight="1">
      <c r="A58" s="24"/>
      <c r="B58" s="24"/>
      <c r="C58" s="24"/>
      <c r="D58" s="24"/>
      <c r="E58" s="24"/>
      <c r="F58" s="24"/>
      <c r="G58" s="25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5.75" customHeight="1">
      <c r="A59" s="24"/>
      <c r="B59" s="24"/>
      <c r="C59" s="24"/>
      <c r="D59" s="24"/>
      <c r="E59" s="24"/>
      <c r="F59" s="24"/>
      <c r="G59" s="25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5.75" customHeight="1">
      <c r="A60" s="24"/>
      <c r="B60" s="24"/>
      <c r="C60" s="24"/>
      <c r="D60" s="24"/>
      <c r="E60" s="24"/>
      <c r="F60" s="24"/>
      <c r="G60" s="25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5.75" customHeight="1">
      <c r="A61" s="24"/>
      <c r="B61" s="24"/>
      <c r="C61" s="24"/>
      <c r="D61" s="24"/>
      <c r="E61" s="24"/>
      <c r="F61" s="24"/>
      <c r="G61" s="25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5.75" customHeight="1">
      <c r="A62" s="24"/>
      <c r="B62" s="24"/>
      <c r="C62" s="24"/>
      <c r="D62" s="24"/>
      <c r="E62" s="24"/>
      <c r="F62" s="24"/>
      <c r="G62" s="25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5.75" customHeight="1">
      <c r="A63" s="24"/>
      <c r="B63" s="24"/>
      <c r="C63" s="24"/>
      <c r="D63" s="24"/>
      <c r="E63" s="24"/>
      <c r="F63" s="24"/>
      <c r="G63" s="25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5.75" customHeight="1">
      <c r="A64" s="24"/>
      <c r="B64" s="24"/>
      <c r="C64" s="24"/>
      <c r="D64" s="24"/>
      <c r="E64" s="24"/>
      <c r="F64" s="24"/>
      <c r="G64" s="25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5.75" customHeight="1">
      <c r="A65" s="24"/>
      <c r="B65" s="24"/>
      <c r="C65" s="24"/>
      <c r="D65" s="24"/>
      <c r="E65" s="24"/>
      <c r="F65" s="24"/>
      <c r="G65" s="25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5.75" customHeight="1">
      <c r="A66" s="24"/>
      <c r="B66" s="24"/>
      <c r="C66" s="24"/>
      <c r="D66" s="24"/>
      <c r="E66" s="24"/>
      <c r="F66" s="24"/>
      <c r="G66" s="25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5.75" customHeight="1">
      <c r="A67" s="24"/>
      <c r="B67" s="24"/>
      <c r="C67" s="24"/>
      <c r="D67" s="24"/>
      <c r="E67" s="24"/>
      <c r="F67" s="24"/>
      <c r="G67" s="25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5.75" customHeight="1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5.75" customHeight="1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5.75" customHeight="1">
      <c r="A70" s="24"/>
      <c r="B70" s="24"/>
      <c r="C70" s="24"/>
      <c r="D70" s="24"/>
      <c r="E70" s="24"/>
      <c r="F70" s="24"/>
      <c r="G70" s="25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75" customHeight="1">
      <c r="A71" s="24"/>
      <c r="B71" s="24"/>
      <c r="C71" s="24"/>
      <c r="D71" s="24"/>
      <c r="E71" s="24"/>
      <c r="F71" s="24"/>
      <c r="G71" s="25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5.75" customHeight="1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5.75" customHeight="1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5.75" customHeight="1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5.75" customHeight="1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5.75" customHeight="1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5.75" customHeight="1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5.75" customHeight="1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5.75" customHeight="1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5.75" customHeight="1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5.75" customHeight="1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5.75" customHeight="1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5.75" customHeight="1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5.75" customHeight="1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5.75" customHeight="1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5.75" customHeight="1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5.75" customHeight="1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5.75" customHeight="1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5.75" customHeight="1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5.75" customHeight="1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5.75" customHeight="1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75" customHeight="1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5.75" customHeight="1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5.75" customHeight="1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5.75" customHeight="1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5.75" customHeight="1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5.75" customHeight="1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5.75" customHeight="1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5.75" customHeight="1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5.75" customHeight="1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5.75" customHeight="1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5.75" customHeight="1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5.75" customHeight="1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5.75" customHeight="1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5.75" customHeight="1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5.75" customHeight="1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5.75" customHeight="1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5.75" customHeight="1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5.75" customHeight="1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5.75" customHeight="1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5.75" customHeight="1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5.75" customHeight="1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5.75" customHeight="1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5.75" customHeight="1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5.75" customHeight="1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5.75" customHeight="1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5.75" customHeight="1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5.75" customHeight="1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5.75" customHeight="1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5.75" customHeight="1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5.75" customHeight="1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5.75" customHeight="1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5.75" customHeight="1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5.75" customHeight="1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5.75" customHeight="1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5.75" customHeight="1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5.75" customHeight="1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5.75" customHeight="1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5.75" customHeight="1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5.75" customHeight="1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5.75" customHeight="1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5.75" customHeight="1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5.75" customHeight="1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5.75" customHeight="1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5.75" customHeight="1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5.75" customHeight="1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5.75" customHeight="1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5.75" customHeight="1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5.75" customHeight="1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5.75" customHeight="1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5.75" customHeight="1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5.75" customHeight="1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5.75" customHeight="1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5.75" customHeight="1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5.75" customHeight="1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5.75" customHeight="1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5.75" customHeight="1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5.75" customHeight="1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5.75" customHeight="1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5.75" customHeight="1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5.75" customHeight="1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5.75" customHeight="1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5.75" customHeight="1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5.75" customHeight="1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5.75" customHeight="1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5.75" customHeight="1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5.75" customHeight="1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5.75" customHeight="1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5.75" customHeight="1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5.75" customHeight="1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5.75" customHeight="1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5.75" customHeight="1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5.75" customHeight="1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5.75" customHeight="1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5.75" customHeight="1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5.75" customHeight="1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5.75" customHeight="1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5.75" customHeight="1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5.75" customHeight="1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5.75" customHeight="1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5.75" customHeight="1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5.75" customHeight="1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5.75" customHeight="1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5.75" customHeight="1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5.75" customHeight="1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5.75" customHeight="1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5.75" customHeight="1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5.75" customHeight="1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5.75" customHeight="1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5.75" customHeight="1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5.75" customHeight="1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5.75" customHeight="1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5.75" customHeight="1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5.75" customHeight="1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5.75" customHeight="1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5.75" customHeight="1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5.75" customHeight="1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5.75" customHeight="1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5.75" customHeight="1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5.75" customHeight="1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5.75" customHeight="1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5.75" customHeight="1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5.75" customHeight="1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5.75" customHeight="1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5.75" customHeight="1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5.75" customHeight="1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5.75" customHeight="1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5.75" customHeight="1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5.75" customHeight="1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5.75" customHeight="1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5.75" customHeight="1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5.75" customHeight="1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5.75" customHeight="1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5.75" customHeight="1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5.75" customHeight="1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5.75" customHeight="1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5.75" customHeight="1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5.75" customHeight="1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5.75" customHeight="1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5.75" customHeight="1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5.75" customHeight="1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5.75" customHeight="1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5.75" customHeight="1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5.75" customHeight="1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5.75" customHeight="1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5.75" customHeight="1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5.75" customHeight="1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5.75" customHeight="1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5.75" customHeight="1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5.75" customHeight="1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9:J9"/>
    <mergeCell ref="K9:O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3.38"/>
    <col customWidth="1" min="2" max="2" width="15.38"/>
    <col customWidth="1" min="3" max="3" width="10.13"/>
    <col customWidth="1" min="4" max="4" width="17.75"/>
    <col customWidth="1" min="5" max="5" width="9.38"/>
    <col customWidth="1" min="6" max="11" width="18.88"/>
    <col customWidth="1" min="12" max="12" width="3.25"/>
    <col customWidth="1" min="13" max="13" width="35.13"/>
    <col customWidth="1" min="14" max="16" width="8.88"/>
    <col customWidth="1" min="17" max="17" width="11.5"/>
    <col customWidth="1" min="18" max="18" width="3.13"/>
    <col customWidth="1" min="19" max="19" width="32.25"/>
    <col customWidth="1" min="20" max="22" width="8.88"/>
    <col customWidth="1" min="23" max="23" width="10.5"/>
    <col customWidth="1" min="24" max="26" width="7.38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64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2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39.75" customHeight="1">
      <c r="A3" s="5"/>
      <c r="B3" s="6" t="s">
        <v>10</v>
      </c>
      <c r="C3" s="6" t="s">
        <v>12</v>
      </c>
      <c r="D3" s="6" t="s">
        <v>13</v>
      </c>
      <c r="E3" s="9">
        <v>9.0</v>
      </c>
      <c r="F3" s="9" t="s">
        <v>15</v>
      </c>
      <c r="G3" s="9" t="s">
        <v>16</v>
      </c>
      <c r="H3" s="9" t="s">
        <v>17</v>
      </c>
      <c r="I3" s="9" t="s">
        <v>20</v>
      </c>
      <c r="J3" s="9" t="s">
        <v>21</v>
      </c>
      <c r="K3" s="9" t="s">
        <v>22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39.75" customHeight="1">
      <c r="A4" s="5"/>
      <c r="B4" s="6" t="s">
        <v>25</v>
      </c>
      <c r="C4" s="6" t="s">
        <v>12</v>
      </c>
      <c r="D4" s="6" t="s">
        <v>26</v>
      </c>
      <c r="E4" s="9">
        <v>9.0</v>
      </c>
      <c r="F4" s="9" t="s">
        <v>27</v>
      </c>
      <c r="G4" s="9" t="s">
        <v>28</v>
      </c>
      <c r="H4" s="9" t="s">
        <v>17</v>
      </c>
      <c r="I4" s="9" t="s">
        <v>29</v>
      </c>
      <c r="J4" s="9" t="s">
        <v>21</v>
      </c>
      <c r="K4" s="9" t="s">
        <v>30</v>
      </c>
      <c r="L4" s="5"/>
      <c r="M4" s="10" t="s">
        <v>31</v>
      </c>
      <c r="X4" s="4"/>
      <c r="Y4" s="4"/>
      <c r="Z4" s="4"/>
      <c r="AA4" s="4"/>
      <c r="AB4" s="5"/>
      <c r="AC4" s="5"/>
      <c r="AD4" s="5"/>
      <c r="AE4" s="5"/>
      <c r="AF4" s="5"/>
    </row>
    <row r="5" ht="39.75" customHeight="1">
      <c r="A5" s="5"/>
      <c r="B5" s="6" t="s">
        <v>32</v>
      </c>
      <c r="C5" s="6" t="s">
        <v>12</v>
      </c>
      <c r="D5" s="6" t="s">
        <v>33</v>
      </c>
      <c r="E5" s="9">
        <v>9.0</v>
      </c>
      <c r="F5" s="9" t="s">
        <v>27</v>
      </c>
      <c r="G5" s="9" t="s">
        <v>19</v>
      </c>
      <c r="H5" s="9" t="s">
        <v>34</v>
      </c>
      <c r="I5" s="9" t="s">
        <v>35</v>
      </c>
      <c r="J5" s="9" t="s">
        <v>21</v>
      </c>
      <c r="K5" s="9" t="s">
        <v>22</v>
      </c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5"/>
      <c r="AD5" s="5"/>
      <c r="AE5" s="5"/>
      <c r="AF5" s="5"/>
    </row>
    <row r="6" ht="39.75" customHeight="1">
      <c r="A6" s="5"/>
      <c r="B6" s="6" t="s">
        <v>36</v>
      </c>
      <c r="C6" s="6" t="s">
        <v>12</v>
      </c>
      <c r="D6" s="6" t="s">
        <v>37</v>
      </c>
      <c r="E6" s="9">
        <v>9.0</v>
      </c>
      <c r="F6" s="9" t="s">
        <v>24</v>
      </c>
      <c r="G6" s="9" t="s">
        <v>28</v>
      </c>
      <c r="H6" s="9" t="s">
        <v>17</v>
      </c>
      <c r="I6" s="9" t="s">
        <v>20</v>
      </c>
      <c r="J6" s="9" t="s">
        <v>21</v>
      </c>
      <c r="K6" s="9" t="s">
        <v>30</v>
      </c>
      <c r="L6" s="5"/>
      <c r="M6" s="11" t="s">
        <v>38</v>
      </c>
      <c r="R6" s="4"/>
      <c r="S6" s="12" t="s">
        <v>39</v>
      </c>
      <c r="X6" s="4"/>
      <c r="Y6" s="4"/>
      <c r="Z6" s="4"/>
      <c r="AA6" s="4"/>
      <c r="AB6" s="5"/>
      <c r="AC6" s="5"/>
      <c r="AD6" s="5"/>
      <c r="AE6" s="5"/>
      <c r="AF6" s="5"/>
    </row>
    <row r="7" ht="39.75" customHeight="1">
      <c r="A7" s="5"/>
      <c r="B7" s="6" t="s">
        <v>40</v>
      </c>
      <c r="C7" s="6" t="s">
        <v>12</v>
      </c>
      <c r="D7" s="6" t="s">
        <v>41</v>
      </c>
      <c r="E7" s="9">
        <v>9.0</v>
      </c>
      <c r="F7" s="9" t="s">
        <v>27</v>
      </c>
      <c r="G7" s="9" t="s">
        <v>19</v>
      </c>
      <c r="H7" s="9" t="s">
        <v>17</v>
      </c>
      <c r="I7" s="9" t="s">
        <v>42</v>
      </c>
      <c r="J7" s="9" t="s">
        <v>43</v>
      </c>
      <c r="K7" s="9" t="s">
        <v>44</v>
      </c>
      <c r="L7" s="5"/>
      <c r="M7" s="13" t="s">
        <v>4</v>
      </c>
      <c r="N7" s="13" t="s">
        <v>45</v>
      </c>
      <c r="O7" s="13" t="s">
        <v>46</v>
      </c>
      <c r="P7" s="13" t="s">
        <v>47</v>
      </c>
      <c r="Q7" s="14" t="s">
        <v>14</v>
      </c>
      <c r="R7" s="5"/>
      <c r="S7" s="15" t="s">
        <v>5</v>
      </c>
      <c r="T7" s="16" t="s">
        <v>45</v>
      </c>
      <c r="U7" s="16" t="s">
        <v>46</v>
      </c>
      <c r="V7" s="16" t="s">
        <v>47</v>
      </c>
      <c r="W7" s="17" t="s">
        <v>14</v>
      </c>
      <c r="X7" s="4"/>
      <c r="Y7" s="4"/>
      <c r="Z7" s="4"/>
      <c r="AA7" s="4"/>
      <c r="AB7" s="5"/>
      <c r="AC7" s="5"/>
      <c r="AD7" s="5"/>
      <c r="AE7" s="5"/>
      <c r="AF7" s="5"/>
    </row>
    <row r="8" ht="39.75" customHeight="1">
      <c r="A8" s="5"/>
      <c r="B8" s="6" t="s">
        <v>48</v>
      </c>
      <c r="C8" s="6" t="s">
        <v>12</v>
      </c>
      <c r="D8" s="6" t="s">
        <v>49</v>
      </c>
      <c r="E8" s="9">
        <v>9.0</v>
      </c>
      <c r="F8" s="9" t="s">
        <v>24</v>
      </c>
      <c r="G8" s="9" t="s">
        <v>19</v>
      </c>
      <c r="H8" s="9" t="s">
        <v>50</v>
      </c>
      <c r="I8" s="9" t="s">
        <v>29</v>
      </c>
      <c r="J8" s="9" t="s">
        <v>21</v>
      </c>
      <c r="K8" s="9" t="s">
        <v>30</v>
      </c>
      <c r="L8" s="5"/>
      <c r="M8" s="18" t="s">
        <v>18</v>
      </c>
      <c r="N8" s="18">
        <v>2.0</v>
      </c>
      <c r="O8" s="19">
        <v>0.0</v>
      </c>
      <c r="P8" s="19">
        <v>0.0</v>
      </c>
      <c r="Q8" s="14">
        <v>2.0</v>
      </c>
      <c r="R8" s="5"/>
      <c r="S8" s="20" t="s">
        <v>19</v>
      </c>
      <c r="T8" s="21">
        <v>10.0</v>
      </c>
      <c r="U8" s="21">
        <v>6.0</v>
      </c>
      <c r="V8" s="21">
        <v>4.0</v>
      </c>
      <c r="W8" s="22">
        <v>20.0</v>
      </c>
      <c r="X8" s="4"/>
      <c r="Y8" s="4"/>
      <c r="Z8" s="4"/>
      <c r="AA8" s="4"/>
      <c r="AB8" s="5"/>
      <c r="AC8" s="5"/>
      <c r="AD8" s="5"/>
      <c r="AE8" s="5"/>
      <c r="AF8" s="5"/>
    </row>
    <row r="9" ht="39.75" customHeight="1">
      <c r="A9" s="5"/>
      <c r="B9" s="6" t="s">
        <v>51</v>
      </c>
      <c r="C9" s="6" t="s">
        <v>12</v>
      </c>
      <c r="D9" s="6" t="s">
        <v>52</v>
      </c>
      <c r="E9" s="9">
        <v>9.0</v>
      </c>
      <c r="F9" s="9" t="s">
        <v>27</v>
      </c>
      <c r="G9" s="9" t="s">
        <v>19</v>
      </c>
      <c r="H9" s="9" t="s">
        <v>17</v>
      </c>
      <c r="I9" s="9" t="s">
        <v>29</v>
      </c>
      <c r="J9" s="9" t="s">
        <v>21</v>
      </c>
      <c r="K9" s="9" t="s">
        <v>30</v>
      </c>
      <c r="L9" s="5"/>
      <c r="M9" s="18" t="s">
        <v>15</v>
      </c>
      <c r="N9" s="18">
        <v>1.0</v>
      </c>
      <c r="O9" s="18">
        <v>1.0</v>
      </c>
      <c r="P9" s="18">
        <v>2.0</v>
      </c>
      <c r="Q9" s="14">
        <v>4.0</v>
      </c>
      <c r="R9" s="5"/>
      <c r="S9" s="20" t="s">
        <v>23</v>
      </c>
      <c r="T9" s="21">
        <v>1.0</v>
      </c>
      <c r="U9" s="23">
        <v>0.0</v>
      </c>
      <c r="V9" s="23">
        <v>0.0</v>
      </c>
      <c r="W9" s="22">
        <v>1.0</v>
      </c>
      <c r="X9" s="4"/>
      <c r="Y9" s="4"/>
      <c r="Z9" s="4"/>
      <c r="AA9" s="4"/>
      <c r="AB9" s="5"/>
      <c r="AC9" s="5"/>
      <c r="AD9" s="5"/>
      <c r="AE9" s="5"/>
      <c r="AF9" s="5"/>
    </row>
    <row r="10" ht="39.75" customHeight="1">
      <c r="A10" s="5"/>
      <c r="B10" s="6" t="s">
        <v>53</v>
      </c>
      <c r="C10" s="6" t="s">
        <v>12</v>
      </c>
      <c r="D10" s="6" t="s">
        <v>54</v>
      </c>
      <c r="E10" s="9">
        <v>9.0</v>
      </c>
      <c r="F10" s="9" t="s">
        <v>27</v>
      </c>
      <c r="G10" s="9" t="s">
        <v>19</v>
      </c>
      <c r="H10" s="9" t="s">
        <v>50</v>
      </c>
      <c r="I10" s="9" t="s">
        <v>55</v>
      </c>
      <c r="J10" s="9" t="s">
        <v>21</v>
      </c>
      <c r="K10" s="9" t="s">
        <v>30</v>
      </c>
      <c r="L10" s="5"/>
      <c r="M10" s="18" t="s">
        <v>24</v>
      </c>
      <c r="N10" s="18">
        <v>7.0</v>
      </c>
      <c r="O10" s="18">
        <v>3.0</v>
      </c>
      <c r="P10" s="18">
        <v>2.0</v>
      </c>
      <c r="Q10" s="14">
        <v>12.0</v>
      </c>
      <c r="R10" s="5"/>
      <c r="S10" s="20" t="s">
        <v>16</v>
      </c>
      <c r="T10" s="21">
        <v>2.0</v>
      </c>
      <c r="U10" s="21">
        <v>2.0</v>
      </c>
      <c r="V10" s="23">
        <v>0.0</v>
      </c>
      <c r="W10" s="22">
        <v>4.0</v>
      </c>
      <c r="X10" s="4"/>
      <c r="Y10" s="4"/>
      <c r="Z10" s="4"/>
      <c r="AA10" s="4"/>
      <c r="AB10" s="5"/>
      <c r="AC10" s="5"/>
      <c r="AD10" s="5"/>
      <c r="AE10" s="5"/>
      <c r="AF10" s="5"/>
    </row>
    <row r="11" ht="39.75" customHeight="1">
      <c r="A11" s="5"/>
      <c r="B11" s="6" t="s">
        <v>56</v>
      </c>
      <c r="C11" s="6" t="s">
        <v>12</v>
      </c>
      <c r="D11" s="6" t="s">
        <v>57</v>
      </c>
      <c r="E11" s="9">
        <v>9.0</v>
      </c>
      <c r="F11" s="9" t="s">
        <v>24</v>
      </c>
      <c r="G11" s="9" t="s">
        <v>19</v>
      </c>
      <c r="H11" s="9" t="s">
        <v>17</v>
      </c>
      <c r="I11" s="9" t="s">
        <v>20</v>
      </c>
      <c r="J11" s="9" t="s">
        <v>21</v>
      </c>
      <c r="K11" s="9" t="s">
        <v>30</v>
      </c>
      <c r="L11" s="5"/>
      <c r="M11" s="18" t="s">
        <v>27</v>
      </c>
      <c r="N11" s="18">
        <v>8.0</v>
      </c>
      <c r="O11" s="18">
        <v>6.0</v>
      </c>
      <c r="P11" s="18">
        <v>4.0</v>
      </c>
      <c r="Q11" s="14">
        <v>18.0</v>
      </c>
      <c r="R11" s="5"/>
      <c r="S11" s="20" t="s">
        <v>28</v>
      </c>
      <c r="T11" s="21">
        <v>5.0</v>
      </c>
      <c r="U11" s="21">
        <v>2.0</v>
      </c>
      <c r="V11" s="21">
        <v>4.0</v>
      </c>
      <c r="W11" s="22">
        <v>11.0</v>
      </c>
      <c r="X11" s="4"/>
      <c r="Y11" s="4"/>
      <c r="Z11" s="4"/>
      <c r="AA11" s="4"/>
      <c r="AB11" s="5"/>
      <c r="AC11" s="5"/>
      <c r="AD11" s="5"/>
      <c r="AE11" s="5"/>
      <c r="AF11" s="5"/>
    </row>
    <row r="12" ht="39.75" customHeight="1">
      <c r="A12" s="5"/>
      <c r="B12" s="6" t="s">
        <v>59</v>
      </c>
      <c r="C12" s="6" t="s">
        <v>12</v>
      </c>
      <c r="D12" s="6" t="s">
        <v>60</v>
      </c>
      <c r="E12" s="9">
        <v>9.0</v>
      </c>
      <c r="F12" s="9" t="s">
        <v>27</v>
      </c>
      <c r="G12" s="9" t="s">
        <v>16</v>
      </c>
      <c r="H12" s="9" t="s">
        <v>17</v>
      </c>
      <c r="I12" s="9" t="s">
        <v>29</v>
      </c>
      <c r="J12" s="9" t="s">
        <v>21</v>
      </c>
      <c r="K12" s="9" t="s">
        <v>44</v>
      </c>
      <c r="L12" s="5"/>
      <c r="M12" s="18" t="s">
        <v>66</v>
      </c>
      <c r="N12" s="18">
        <v>0.0</v>
      </c>
      <c r="O12" s="18">
        <v>0.0</v>
      </c>
      <c r="P12" s="18">
        <v>0.0</v>
      </c>
      <c r="Q12" s="14">
        <f>COUNTIF(Responses!S7:S1000, P12)</f>
        <v>0</v>
      </c>
      <c r="R12" s="5"/>
      <c r="S12" s="32" t="s">
        <v>66</v>
      </c>
      <c r="T12" s="32">
        <v>0.0</v>
      </c>
      <c r="U12" s="32">
        <v>0.0</v>
      </c>
      <c r="V12" s="32">
        <v>0.0</v>
      </c>
      <c r="W12" s="17">
        <f>COUNTIF(Responses!Y4:Y1000, V12)</f>
        <v>0</v>
      </c>
      <c r="X12" s="5"/>
      <c r="Y12" s="5"/>
      <c r="Z12" s="5"/>
      <c r="AA12" s="5"/>
      <c r="AB12" s="5"/>
      <c r="AC12" s="5"/>
      <c r="AD12" s="5"/>
      <c r="AE12" s="5"/>
      <c r="AF12" s="5"/>
    </row>
    <row r="13" ht="39.75" customHeight="1">
      <c r="A13" s="5"/>
      <c r="B13" s="6" t="s">
        <v>69</v>
      </c>
      <c r="C13" s="6" t="s">
        <v>12</v>
      </c>
      <c r="D13" s="6" t="s">
        <v>70</v>
      </c>
      <c r="E13" s="9">
        <v>8.0</v>
      </c>
      <c r="F13" s="9" t="s">
        <v>24</v>
      </c>
      <c r="G13" s="9" t="s">
        <v>16</v>
      </c>
      <c r="H13" s="9" t="s">
        <v>17</v>
      </c>
      <c r="I13" s="9" t="s">
        <v>20</v>
      </c>
      <c r="J13" s="9" t="s">
        <v>50</v>
      </c>
      <c r="K13" s="9" t="s">
        <v>71</v>
      </c>
      <c r="L13" s="5"/>
      <c r="M13" s="18" t="s">
        <v>14</v>
      </c>
      <c r="N13" s="18">
        <v>18.0</v>
      </c>
      <c r="O13" s="18">
        <v>10.0</v>
      </c>
      <c r="P13" s="18">
        <v>8.0</v>
      </c>
      <c r="Q13" s="14">
        <v>36.0</v>
      </c>
      <c r="R13" s="5"/>
      <c r="S13" s="20" t="s">
        <v>14</v>
      </c>
      <c r="T13" s="21">
        <v>18.0</v>
      </c>
      <c r="U13" s="21">
        <v>10.0</v>
      </c>
      <c r="V13" s="21">
        <v>8.0</v>
      </c>
      <c r="W13" s="22">
        <v>36.0</v>
      </c>
      <c r="X13" s="5"/>
      <c r="Y13" s="5"/>
      <c r="Z13" s="5"/>
      <c r="AA13" s="5"/>
      <c r="AB13" s="5"/>
      <c r="AC13" s="5"/>
      <c r="AD13" s="5"/>
      <c r="AE13" s="5"/>
      <c r="AF13" s="5"/>
    </row>
    <row r="14" ht="39.75" customHeight="1">
      <c r="A14" s="5"/>
      <c r="B14" s="6" t="s">
        <v>72</v>
      </c>
      <c r="C14" s="6" t="s">
        <v>12</v>
      </c>
      <c r="D14" s="6" t="s">
        <v>73</v>
      </c>
      <c r="E14" s="9">
        <v>8.0</v>
      </c>
      <c r="F14" s="9" t="s">
        <v>27</v>
      </c>
      <c r="G14" s="9" t="s">
        <v>19</v>
      </c>
      <c r="H14" s="9" t="s">
        <v>34</v>
      </c>
      <c r="I14" s="9" t="s">
        <v>29</v>
      </c>
      <c r="J14" s="9" t="s">
        <v>43</v>
      </c>
      <c r="K14" s="9" t="s">
        <v>44</v>
      </c>
      <c r="L14" s="5"/>
      <c r="M14" s="2"/>
      <c r="N14" s="37"/>
      <c r="O14" s="5"/>
      <c r="P14" s="2"/>
      <c r="Q14" s="37"/>
      <c r="R14" s="5"/>
      <c r="S14" s="5"/>
      <c r="T14" s="2"/>
      <c r="U14" s="37"/>
      <c r="V14" s="5"/>
      <c r="W14" s="4"/>
      <c r="X14" s="5"/>
      <c r="Y14" s="5"/>
      <c r="Z14" s="5"/>
      <c r="AA14" s="5"/>
      <c r="AB14" s="5"/>
      <c r="AC14" s="5"/>
      <c r="AD14" s="5"/>
      <c r="AE14" s="5"/>
      <c r="AF14" s="5"/>
    </row>
    <row r="15" ht="39.75" customHeight="1">
      <c r="A15" s="5"/>
      <c r="B15" s="6" t="s">
        <v>76</v>
      </c>
      <c r="C15" s="6" t="s">
        <v>12</v>
      </c>
      <c r="D15" s="6" t="s">
        <v>77</v>
      </c>
      <c r="E15" s="9">
        <v>8.0</v>
      </c>
      <c r="F15" s="9" t="s">
        <v>24</v>
      </c>
      <c r="G15" s="9" t="s">
        <v>19</v>
      </c>
      <c r="H15" s="9" t="s">
        <v>17</v>
      </c>
      <c r="I15" s="9" t="s">
        <v>29</v>
      </c>
      <c r="J15" s="9" t="s">
        <v>21</v>
      </c>
      <c r="K15" s="9" t="s">
        <v>30</v>
      </c>
      <c r="L15" s="5"/>
      <c r="M15" s="38" t="s">
        <v>79</v>
      </c>
      <c r="R15" s="4"/>
      <c r="S15" s="39" t="s">
        <v>80</v>
      </c>
      <c r="X15" s="5"/>
      <c r="Y15" s="5"/>
      <c r="Z15" s="5"/>
      <c r="AA15" s="5"/>
      <c r="AB15" s="5"/>
      <c r="AC15" s="5"/>
      <c r="AD15" s="5"/>
      <c r="AE15" s="5"/>
      <c r="AF15" s="5"/>
    </row>
    <row r="16" ht="39.75" customHeight="1">
      <c r="A16" s="5"/>
      <c r="B16" s="6" t="s">
        <v>82</v>
      </c>
      <c r="C16" s="6" t="s">
        <v>12</v>
      </c>
      <c r="D16" s="6" t="s">
        <v>83</v>
      </c>
      <c r="E16" s="9">
        <v>8.0</v>
      </c>
      <c r="F16" s="9" t="s">
        <v>27</v>
      </c>
      <c r="G16" s="9" t="s">
        <v>19</v>
      </c>
      <c r="H16" s="9" t="s">
        <v>17</v>
      </c>
      <c r="I16" s="9" t="s">
        <v>29</v>
      </c>
      <c r="J16" s="9" t="s">
        <v>50</v>
      </c>
      <c r="K16" s="9" t="s">
        <v>71</v>
      </c>
      <c r="L16" s="5"/>
      <c r="M16" s="40" t="s">
        <v>6</v>
      </c>
      <c r="N16" s="41" t="s">
        <v>45</v>
      </c>
      <c r="O16" s="41" t="s">
        <v>46</v>
      </c>
      <c r="P16" s="41" t="s">
        <v>47</v>
      </c>
      <c r="Q16" s="44" t="s">
        <v>14</v>
      </c>
      <c r="R16" s="5"/>
      <c r="S16" s="45" t="s">
        <v>7</v>
      </c>
      <c r="T16" s="46" t="s">
        <v>45</v>
      </c>
      <c r="U16" s="46" t="s">
        <v>46</v>
      </c>
      <c r="V16" s="46" t="s">
        <v>47</v>
      </c>
      <c r="W16" s="47" t="s">
        <v>14</v>
      </c>
      <c r="X16" s="5"/>
      <c r="Y16" s="5"/>
      <c r="Z16" s="5"/>
      <c r="AA16" s="5"/>
      <c r="AB16" s="5"/>
      <c r="AC16" s="5"/>
      <c r="AD16" s="5"/>
      <c r="AE16" s="5"/>
      <c r="AF16" s="5"/>
    </row>
    <row r="17" ht="39.75" customHeight="1">
      <c r="A17" s="5"/>
      <c r="B17" s="6" t="s">
        <v>86</v>
      </c>
      <c r="C17" s="6" t="s">
        <v>12</v>
      </c>
      <c r="D17" s="6" t="s">
        <v>87</v>
      </c>
      <c r="E17" s="9">
        <v>8.0</v>
      </c>
      <c r="F17" s="9" t="s">
        <v>18</v>
      </c>
      <c r="G17" s="9" t="s">
        <v>19</v>
      </c>
      <c r="H17" s="9" t="s">
        <v>50</v>
      </c>
      <c r="I17" s="9" t="s">
        <v>35</v>
      </c>
      <c r="J17" s="9" t="s">
        <v>50</v>
      </c>
      <c r="K17" s="9" t="s">
        <v>30</v>
      </c>
      <c r="L17" s="5"/>
      <c r="M17" s="50" t="s">
        <v>34</v>
      </c>
      <c r="N17" s="51">
        <v>2.0</v>
      </c>
      <c r="O17" s="51">
        <v>1.0</v>
      </c>
      <c r="P17" s="51">
        <v>1.0</v>
      </c>
      <c r="Q17" s="44">
        <v>4.0</v>
      </c>
      <c r="R17" s="5"/>
      <c r="S17" s="52" t="s">
        <v>29</v>
      </c>
      <c r="T17" s="23">
        <v>5.0</v>
      </c>
      <c r="U17" s="23">
        <v>4.0</v>
      </c>
      <c r="V17" s="23">
        <v>5.0</v>
      </c>
      <c r="W17" s="52">
        <v>14.0</v>
      </c>
      <c r="X17" s="5"/>
      <c r="Y17" s="5"/>
      <c r="Z17" s="5"/>
      <c r="AA17" s="5"/>
      <c r="AB17" s="5"/>
      <c r="AC17" s="5"/>
      <c r="AD17" s="5"/>
      <c r="AE17" s="5"/>
      <c r="AF17" s="5"/>
    </row>
    <row r="18" ht="39.75" customHeight="1">
      <c r="A18" s="5"/>
      <c r="B18" s="6" t="s">
        <v>93</v>
      </c>
      <c r="C18" s="6" t="s">
        <v>12</v>
      </c>
      <c r="D18" s="6" t="s">
        <v>94</v>
      </c>
      <c r="E18" s="9">
        <v>8.0</v>
      </c>
      <c r="F18" s="9" t="s">
        <v>27</v>
      </c>
      <c r="G18" s="9" t="s">
        <v>28</v>
      </c>
      <c r="H18" s="9" t="s">
        <v>17</v>
      </c>
      <c r="I18" s="9" t="s">
        <v>29</v>
      </c>
      <c r="J18" s="9" t="s">
        <v>21</v>
      </c>
      <c r="K18" s="9" t="s">
        <v>71</v>
      </c>
      <c r="L18" s="5"/>
      <c r="M18" s="50" t="s">
        <v>50</v>
      </c>
      <c r="N18" s="51">
        <v>4.0</v>
      </c>
      <c r="O18" s="51">
        <v>2.0</v>
      </c>
      <c r="P18" s="51">
        <v>6.0</v>
      </c>
      <c r="Q18" s="44">
        <v>12.0</v>
      </c>
      <c r="R18" s="5"/>
      <c r="S18" s="52" t="s">
        <v>42</v>
      </c>
      <c r="T18" s="23">
        <v>4.0</v>
      </c>
      <c r="U18" s="23">
        <v>1.0</v>
      </c>
      <c r="V18" s="23">
        <v>0.0</v>
      </c>
      <c r="W18" s="52">
        <v>5.0</v>
      </c>
      <c r="X18" s="5"/>
      <c r="Y18" s="5"/>
      <c r="Z18" s="5"/>
      <c r="AA18" s="5"/>
      <c r="AB18" s="5"/>
      <c r="AC18" s="5"/>
      <c r="AD18" s="5"/>
      <c r="AE18" s="5"/>
      <c r="AF18" s="5"/>
    </row>
    <row r="19" ht="39.75" customHeight="1">
      <c r="A19" s="5"/>
      <c r="B19" s="6" t="s">
        <v>98</v>
      </c>
      <c r="C19" s="6" t="s">
        <v>12</v>
      </c>
      <c r="D19" s="6" t="s">
        <v>99</v>
      </c>
      <c r="E19" s="9">
        <v>8.0</v>
      </c>
      <c r="F19" s="9" t="s">
        <v>27</v>
      </c>
      <c r="G19" s="9" t="s">
        <v>28</v>
      </c>
      <c r="H19" s="9" t="s">
        <v>50</v>
      </c>
      <c r="I19" s="9" t="s">
        <v>20</v>
      </c>
      <c r="J19" s="9" t="s">
        <v>21</v>
      </c>
      <c r="K19" s="9" t="s">
        <v>22</v>
      </c>
      <c r="L19" s="5"/>
      <c r="M19" s="50" t="s">
        <v>17</v>
      </c>
      <c r="N19" s="51">
        <v>12.0</v>
      </c>
      <c r="O19" s="51">
        <v>7.0</v>
      </c>
      <c r="P19" s="51">
        <v>1.0</v>
      </c>
      <c r="Q19" s="44">
        <v>20.0</v>
      </c>
      <c r="R19" s="5"/>
      <c r="S19" s="52" t="s">
        <v>35</v>
      </c>
      <c r="T19" s="23">
        <v>3.0</v>
      </c>
      <c r="U19" s="23">
        <v>1.0</v>
      </c>
      <c r="V19" s="23">
        <v>2.0</v>
      </c>
      <c r="W19" s="52">
        <v>6.0</v>
      </c>
      <c r="X19" s="5"/>
      <c r="Y19" s="5"/>
      <c r="Z19" s="5"/>
      <c r="AA19" s="5"/>
      <c r="AB19" s="5"/>
      <c r="AC19" s="5"/>
      <c r="AD19" s="5"/>
      <c r="AE19" s="5"/>
      <c r="AF19" s="5"/>
    </row>
    <row r="20" ht="39.75" customHeight="1">
      <c r="A20" s="5"/>
      <c r="B20" s="6" t="s">
        <v>101</v>
      </c>
      <c r="C20" s="6" t="s">
        <v>12</v>
      </c>
      <c r="D20" s="6" t="s">
        <v>102</v>
      </c>
      <c r="E20" s="9">
        <v>8.0</v>
      </c>
      <c r="F20" s="9" t="s">
        <v>27</v>
      </c>
      <c r="G20" s="9" t="s">
        <v>19</v>
      </c>
      <c r="H20" s="9" t="s">
        <v>17</v>
      </c>
      <c r="I20" s="9" t="s">
        <v>42</v>
      </c>
      <c r="J20" s="9" t="s">
        <v>50</v>
      </c>
      <c r="K20" s="9" t="s">
        <v>44</v>
      </c>
      <c r="L20" s="5"/>
      <c r="M20" s="63" t="s">
        <v>103</v>
      </c>
      <c r="N20" s="63">
        <v>0.0</v>
      </c>
      <c r="O20" s="63">
        <v>0.0</v>
      </c>
      <c r="P20" s="63">
        <v>0.0</v>
      </c>
      <c r="Q20" s="64">
        <f>COUNTIF(Responses!S14:S1000, P20)</f>
        <v>0</v>
      </c>
      <c r="R20" s="5"/>
      <c r="S20" s="52" t="s">
        <v>20</v>
      </c>
      <c r="T20" s="23">
        <v>5.0</v>
      </c>
      <c r="U20" s="23">
        <v>3.0</v>
      </c>
      <c r="V20" s="23">
        <v>1.0</v>
      </c>
      <c r="W20" s="52">
        <v>9.0</v>
      </c>
      <c r="X20" s="5"/>
      <c r="Y20" s="5"/>
      <c r="Z20" s="5"/>
      <c r="AA20" s="5"/>
      <c r="AB20" s="5"/>
      <c r="AC20" s="5"/>
      <c r="AD20" s="5"/>
      <c r="AE20" s="5"/>
      <c r="AF20" s="5"/>
    </row>
    <row r="21" ht="39.75" customHeight="1">
      <c r="A21" s="5"/>
      <c r="B21" s="6" t="s">
        <v>104</v>
      </c>
      <c r="C21" s="6" t="s">
        <v>12</v>
      </c>
      <c r="D21" s="6" t="s">
        <v>105</v>
      </c>
      <c r="E21" s="9">
        <v>8.0</v>
      </c>
      <c r="F21" s="9" t="s">
        <v>24</v>
      </c>
      <c r="G21" s="9" t="s">
        <v>28</v>
      </c>
      <c r="H21" s="9" t="s">
        <v>50</v>
      </c>
      <c r="I21" s="9" t="s">
        <v>20</v>
      </c>
      <c r="J21" s="9" t="s">
        <v>21</v>
      </c>
      <c r="K21" s="9" t="s">
        <v>44</v>
      </c>
      <c r="L21" s="5"/>
      <c r="M21" s="50" t="s">
        <v>14</v>
      </c>
      <c r="N21" s="51">
        <v>18.0</v>
      </c>
      <c r="O21" s="51">
        <v>10.0</v>
      </c>
      <c r="P21" s="51">
        <v>8.0</v>
      </c>
      <c r="Q21" s="44">
        <v>36.0</v>
      </c>
      <c r="R21" s="4"/>
      <c r="S21" s="52" t="s">
        <v>55</v>
      </c>
      <c r="T21" s="23">
        <v>1.0</v>
      </c>
      <c r="U21" s="23">
        <v>1.0</v>
      </c>
      <c r="V21" s="23">
        <v>0.0</v>
      </c>
      <c r="W21" s="52">
        <v>2.0</v>
      </c>
      <c r="X21" s="5"/>
      <c r="Y21" s="5"/>
      <c r="Z21" s="5"/>
      <c r="AA21" s="5"/>
      <c r="AB21" s="5"/>
      <c r="AC21" s="5"/>
      <c r="AD21" s="5"/>
      <c r="AE21" s="5"/>
      <c r="AF21" s="5"/>
    </row>
    <row r="22" ht="39.75" customHeight="1">
      <c r="A22" s="5"/>
      <c r="B22" s="6" t="s">
        <v>106</v>
      </c>
      <c r="C22" s="6" t="s">
        <v>12</v>
      </c>
      <c r="D22" s="6" t="s">
        <v>107</v>
      </c>
      <c r="E22" s="9">
        <v>8.0</v>
      </c>
      <c r="F22" s="9" t="s">
        <v>24</v>
      </c>
      <c r="G22" s="9" t="s">
        <v>19</v>
      </c>
      <c r="H22" s="9" t="s">
        <v>17</v>
      </c>
      <c r="I22" s="9" t="s">
        <v>20</v>
      </c>
      <c r="J22" s="9" t="s">
        <v>50</v>
      </c>
      <c r="K22" s="9" t="s">
        <v>30</v>
      </c>
      <c r="L22" s="5"/>
      <c r="M22" s="5"/>
      <c r="N22" s="5"/>
      <c r="O22" s="5"/>
      <c r="P22" s="5"/>
      <c r="Q22" s="5"/>
      <c r="R22" s="5"/>
      <c r="S22" s="52" t="s">
        <v>14</v>
      </c>
      <c r="T22" s="23">
        <v>18.0</v>
      </c>
      <c r="U22" s="23">
        <v>10.0</v>
      </c>
      <c r="V22" s="23">
        <v>8.0</v>
      </c>
      <c r="W22" s="52">
        <v>36.0</v>
      </c>
      <c r="X22" s="5"/>
      <c r="Y22" s="5"/>
      <c r="Z22" s="5"/>
      <c r="AA22" s="5"/>
      <c r="AB22" s="5"/>
      <c r="AC22" s="5"/>
      <c r="AD22" s="5"/>
      <c r="AE22" s="5"/>
      <c r="AF22" s="5"/>
    </row>
    <row r="23" ht="39.75" customHeight="1">
      <c r="A23" s="5"/>
      <c r="B23" s="6" t="s">
        <v>108</v>
      </c>
      <c r="C23" s="6" t="s">
        <v>12</v>
      </c>
      <c r="D23" s="6" t="s">
        <v>109</v>
      </c>
      <c r="E23" s="9">
        <v>8.0</v>
      </c>
      <c r="F23" s="9" t="s">
        <v>24</v>
      </c>
      <c r="G23" s="9" t="s">
        <v>19</v>
      </c>
      <c r="H23" s="9" t="s">
        <v>34</v>
      </c>
      <c r="I23" s="9" t="s">
        <v>35</v>
      </c>
      <c r="J23" s="9" t="s">
        <v>43</v>
      </c>
      <c r="K23" s="9" t="s">
        <v>30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39.75" customHeight="1">
      <c r="A24" s="5"/>
      <c r="B24" s="6" t="s">
        <v>110</v>
      </c>
      <c r="C24" s="6" t="s">
        <v>12</v>
      </c>
      <c r="D24" s="6" t="s">
        <v>111</v>
      </c>
      <c r="E24" s="9">
        <v>8.0</v>
      </c>
      <c r="F24" s="9" t="s">
        <v>24</v>
      </c>
      <c r="G24" s="9" t="s">
        <v>28</v>
      </c>
      <c r="H24" s="9" t="s">
        <v>17</v>
      </c>
      <c r="I24" s="9" t="s">
        <v>20</v>
      </c>
      <c r="J24" s="9" t="s">
        <v>21</v>
      </c>
      <c r="K24" s="9" t="s">
        <v>30</v>
      </c>
      <c r="L24" s="5"/>
      <c r="M24" s="65" t="s">
        <v>112</v>
      </c>
      <c r="R24" s="4"/>
      <c r="S24" s="66" t="s">
        <v>113</v>
      </c>
      <c r="X24" s="5"/>
      <c r="Y24" s="5"/>
      <c r="Z24" s="5"/>
      <c r="AA24" s="5"/>
      <c r="AB24" s="5"/>
      <c r="AC24" s="5"/>
      <c r="AD24" s="5"/>
      <c r="AE24" s="5"/>
      <c r="AF24" s="5"/>
    </row>
    <row r="25" ht="39.75" customHeight="1">
      <c r="A25" s="5"/>
      <c r="B25" s="6" t="s">
        <v>114</v>
      </c>
      <c r="C25" s="6" t="s">
        <v>12</v>
      </c>
      <c r="D25" s="6" t="s">
        <v>115</v>
      </c>
      <c r="E25" s="9">
        <v>8.0</v>
      </c>
      <c r="F25" s="9" t="s">
        <v>27</v>
      </c>
      <c r="G25" s="9" t="s">
        <v>16</v>
      </c>
      <c r="H25" s="9" t="s">
        <v>17</v>
      </c>
      <c r="I25" s="9" t="s">
        <v>42</v>
      </c>
      <c r="J25" s="9" t="s">
        <v>21</v>
      </c>
      <c r="K25" s="9" t="s">
        <v>30</v>
      </c>
      <c r="L25" s="5"/>
      <c r="M25" s="67" t="s">
        <v>8</v>
      </c>
      <c r="N25" s="68" t="s">
        <v>45</v>
      </c>
      <c r="O25" s="68" t="s">
        <v>46</v>
      </c>
      <c r="P25" s="68" t="s">
        <v>47</v>
      </c>
      <c r="Q25" s="69" t="s">
        <v>14</v>
      </c>
      <c r="R25" s="5"/>
      <c r="S25" s="70" t="s">
        <v>9</v>
      </c>
      <c r="T25" s="71" t="s">
        <v>45</v>
      </c>
      <c r="U25" s="71" t="s">
        <v>46</v>
      </c>
      <c r="V25" s="71" t="s">
        <v>47</v>
      </c>
      <c r="W25" s="72" t="s">
        <v>14</v>
      </c>
      <c r="X25" s="5"/>
      <c r="Y25" s="5"/>
      <c r="Z25" s="5"/>
      <c r="AA25" s="5"/>
      <c r="AB25" s="5"/>
      <c r="AC25" s="5"/>
      <c r="AD25" s="5"/>
      <c r="AE25" s="5"/>
      <c r="AF25" s="5"/>
    </row>
    <row r="26" ht="39.75" customHeight="1">
      <c r="A26" s="5"/>
      <c r="B26" s="6" t="s">
        <v>116</v>
      </c>
      <c r="C26" s="6" t="s">
        <v>12</v>
      </c>
      <c r="D26" s="6" t="s">
        <v>117</v>
      </c>
      <c r="E26" s="9">
        <v>8.0</v>
      </c>
      <c r="F26" s="9" t="s">
        <v>15</v>
      </c>
      <c r="G26" s="9" t="s">
        <v>19</v>
      </c>
      <c r="H26" s="9" t="s">
        <v>17</v>
      </c>
      <c r="I26" s="9" t="s">
        <v>35</v>
      </c>
      <c r="J26" s="9" t="s">
        <v>43</v>
      </c>
      <c r="K26" s="9" t="s">
        <v>22</v>
      </c>
      <c r="L26" s="5"/>
      <c r="M26" s="73" t="s">
        <v>21</v>
      </c>
      <c r="N26" s="36">
        <v>8.0</v>
      </c>
      <c r="O26" s="36">
        <v>9.0</v>
      </c>
      <c r="P26" s="36">
        <v>6.0</v>
      </c>
      <c r="Q26" s="73">
        <v>23.0</v>
      </c>
      <c r="R26" s="5"/>
      <c r="S26" s="74" t="s">
        <v>71</v>
      </c>
      <c r="T26" s="75">
        <v>3.0</v>
      </c>
      <c r="U26" s="75">
        <v>0.0</v>
      </c>
      <c r="V26" s="75">
        <v>0.0</v>
      </c>
      <c r="W26" s="74">
        <v>3.0</v>
      </c>
      <c r="X26" s="5"/>
      <c r="Y26" s="5"/>
      <c r="Z26" s="5"/>
      <c r="AA26" s="5"/>
      <c r="AB26" s="5"/>
      <c r="AC26" s="5"/>
      <c r="AD26" s="5"/>
      <c r="AE26" s="5"/>
      <c r="AF26" s="5"/>
    </row>
    <row r="27" ht="39.75" customHeight="1">
      <c r="A27" s="5"/>
      <c r="B27" s="6" t="s">
        <v>118</v>
      </c>
      <c r="C27" s="6" t="s">
        <v>12</v>
      </c>
      <c r="D27" s="6" t="s">
        <v>119</v>
      </c>
      <c r="E27" s="9">
        <v>8.0</v>
      </c>
      <c r="F27" s="9" t="s">
        <v>24</v>
      </c>
      <c r="G27" s="9" t="s">
        <v>28</v>
      </c>
      <c r="H27" s="9" t="s">
        <v>50</v>
      </c>
      <c r="I27" s="9" t="s">
        <v>29</v>
      </c>
      <c r="J27" s="9" t="s">
        <v>21</v>
      </c>
      <c r="K27" s="9" t="s">
        <v>30</v>
      </c>
      <c r="L27" s="5"/>
      <c r="M27" s="73" t="s">
        <v>43</v>
      </c>
      <c r="N27" s="36">
        <v>4.0</v>
      </c>
      <c r="O27" s="36">
        <v>1.0</v>
      </c>
      <c r="P27" s="36">
        <v>1.0</v>
      </c>
      <c r="Q27" s="73">
        <v>6.0</v>
      </c>
      <c r="R27" s="5"/>
      <c r="S27" s="74" t="s">
        <v>44</v>
      </c>
      <c r="T27" s="75">
        <v>3.0</v>
      </c>
      <c r="U27" s="75">
        <v>2.0</v>
      </c>
      <c r="V27" s="75">
        <v>1.0</v>
      </c>
      <c r="W27" s="74">
        <v>6.0</v>
      </c>
      <c r="X27" s="5"/>
      <c r="Y27" s="5"/>
      <c r="Z27" s="5"/>
      <c r="AA27" s="5"/>
      <c r="AB27" s="5"/>
      <c r="AC27" s="5"/>
      <c r="AD27" s="5"/>
      <c r="AE27" s="5"/>
      <c r="AF27" s="5"/>
    </row>
    <row r="28" ht="39.75" customHeight="1">
      <c r="A28" s="5"/>
      <c r="B28" s="6" t="s">
        <v>120</v>
      </c>
      <c r="C28" s="6" t="s">
        <v>12</v>
      </c>
      <c r="D28" s="6" t="s">
        <v>121</v>
      </c>
      <c r="E28" s="9">
        <v>8.0</v>
      </c>
      <c r="F28" s="9" t="s">
        <v>18</v>
      </c>
      <c r="G28" s="9" t="s">
        <v>19</v>
      </c>
      <c r="H28" s="9" t="s">
        <v>17</v>
      </c>
      <c r="I28" s="9" t="s">
        <v>42</v>
      </c>
      <c r="J28" s="9" t="s">
        <v>50</v>
      </c>
      <c r="K28" s="9" t="s">
        <v>30</v>
      </c>
      <c r="L28" s="5"/>
      <c r="M28" s="73" t="s">
        <v>50</v>
      </c>
      <c r="N28" s="36">
        <v>6.0</v>
      </c>
      <c r="O28" s="76">
        <v>0.0</v>
      </c>
      <c r="P28" s="36">
        <v>1.0</v>
      </c>
      <c r="Q28" s="73">
        <v>7.0</v>
      </c>
      <c r="R28" s="5"/>
      <c r="S28" s="74" t="s">
        <v>22</v>
      </c>
      <c r="T28" s="75">
        <v>2.0</v>
      </c>
      <c r="U28" s="75">
        <v>2.0</v>
      </c>
      <c r="V28" s="75">
        <v>1.0</v>
      </c>
      <c r="W28" s="74">
        <v>5.0</v>
      </c>
      <c r="X28" s="5"/>
      <c r="Y28" s="5"/>
      <c r="Z28" s="5"/>
      <c r="AA28" s="5"/>
      <c r="AB28" s="5"/>
      <c r="AC28" s="5"/>
      <c r="AD28" s="5"/>
      <c r="AE28" s="5"/>
      <c r="AF28" s="5"/>
    </row>
    <row r="29" ht="39.75" customHeight="1">
      <c r="A29" s="5"/>
      <c r="B29" s="6" t="s">
        <v>122</v>
      </c>
      <c r="C29" s="6" t="s">
        <v>12</v>
      </c>
      <c r="D29" s="6" t="s">
        <v>123</v>
      </c>
      <c r="E29" s="9">
        <v>8.0</v>
      </c>
      <c r="F29" s="9" t="s">
        <v>27</v>
      </c>
      <c r="G29" s="9" t="s">
        <v>23</v>
      </c>
      <c r="H29" s="9" t="s">
        <v>17</v>
      </c>
      <c r="I29" s="9" t="s">
        <v>55</v>
      </c>
      <c r="J29" s="9" t="s">
        <v>43</v>
      </c>
      <c r="K29" s="9" t="s">
        <v>30</v>
      </c>
      <c r="L29" s="5"/>
      <c r="M29" s="76" t="s">
        <v>103</v>
      </c>
      <c r="N29" s="76">
        <v>0.0</v>
      </c>
      <c r="O29" s="76">
        <v>0.0</v>
      </c>
      <c r="P29" s="76">
        <v>0.0</v>
      </c>
      <c r="Q29" s="77">
        <f>COUNTIF(Responses!S23:S1000, P29)</f>
        <v>0</v>
      </c>
      <c r="R29" s="5"/>
      <c r="S29" s="74" t="s">
        <v>30</v>
      </c>
      <c r="T29" s="75">
        <v>10.0</v>
      </c>
      <c r="U29" s="75">
        <v>6.0</v>
      </c>
      <c r="V29" s="75">
        <v>6.0</v>
      </c>
      <c r="W29" s="74">
        <v>22.0</v>
      </c>
      <c r="X29" s="5"/>
      <c r="Y29" s="5"/>
      <c r="Z29" s="5"/>
      <c r="AA29" s="5"/>
      <c r="AB29" s="5"/>
      <c r="AC29" s="5"/>
      <c r="AD29" s="5"/>
      <c r="AE29" s="5"/>
      <c r="AF29" s="5"/>
    </row>
    <row r="30" ht="39.75" customHeight="1">
      <c r="A30" s="5"/>
      <c r="B30" s="6" t="s">
        <v>124</v>
      </c>
      <c r="C30" s="6" t="s">
        <v>12</v>
      </c>
      <c r="D30" s="6" t="s">
        <v>125</v>
      </c>
      <c r="E30" s="9">
        <v>8.0</v>
      </c>
      <c r="F30" s="9" t="s">
        <v>27</v>
      </c>
      <c r="G30" s="9" t="s">
        <v>19</v>
      </c>
      <c r="H30" s="9" t="s">
        <v>17</v>
      </c>
      <c r="I30" s="9" t="s">
        <v>42</v>
      </c>
      <c r="J30" s="9" t="s">
        <v>21</v>
      </c>
      <c r="K30" s="9" t="s">
        <v>30</v>
      </c>
      <c r="L30" s="5"/>
      <c r="M30" s="73" t="s">
        <v>14</v>
      </c>
      <c r="N30" s="36">
        <v>18.0</v>
      </c>
      <c r="O30" s="36">
        <v>10.0</v>
      </c>
      <c r="P30" s="36">
        <v>8.0</v>
      </c>
      <c r="Q30" s="73">
        <v>36.0</v>
      </c>
      <c r="R30" s="5"/>
      <c r="S30" s="74" t="s">
        <v>126</v>
      </c>
      <c r="T30" s="75">
        <v>0.0</v>
      </c>
      <c r="U30" s="75">
        <v>0.0</v>
      </c>
      <c r="V30" s="75">
        <v>0.0</v>
      </c>
      <c r="W30" s="72">
        <v>0.0</v>
      </c>
      <c r="X30" s="5"/>
      <c r="Y30" s="5"/>
      <c r="Z30" s="5"/>
      <c r="AA30" s="5"/>
      <c r="AB30" s="5"/>
      <c r="AC30" s="5"/>
      <c r="AD30" s="5"/>
      <c r="AE30" s="5"/>
      <c r="AF30" s="5"/>
    </row>
    <row r="31" ht="39.75" customHeight="1">
      <c r="A31" s="5"/>
      <c r="B31" s="6" t="s">
        <v>127</v>
      </c>
      <c r="C31" s="6" t="s">
        <v>12</v>
      </c>
      <c r="D31" s="6" t="s">
        <v>128</v>
      </c>
      <c r="E31" s="9">
        <v>10.0</v>
      </c>
      <c r="F31" s="9" t="s">
        <v>15</v>
      </c>
      <c r="G31" s="9" t="s">
        <v>28</v>
      </c>
      <c r="H31" s="9" t="s">
        <v>50</v>
      </c>
      <c r="I31" s="9" t="s">
        <v>29</v>
      </c>
      <c r="J31" s="9" t="s">
        <v>21</v>
      </c>
      <c r="K31" s="9" t="s">
        <v>22</v>
      </c>
      <c r="L31" s="5"/>
      <c r="M31" s="5"/>
      <c r="N31" s="5"/>
      <c r="O31" s="5"/>
      <c r="P31" s="5"/>
      <c r="Q31" s="5"/>
      <c r="R31" s="5"/>
      <c r="S31" s="74" t="s">
        <v>14</v>
      </c>
      <c r="T31" s="75">
        <v>18.0</v>
      </c>
      <c r="U31" s="75">
        <v>10.0</v>
      </c>
      <c r="V31" s="75">
        <v>8.0</v>
      </c>
      <c r="W31" s="74">
        <v>36.0</v>
      </c>
      <c r="X31" s="5"/>
      <c r="Y31" s="5"/>
      <c r="Z31" s="5"/>
      <c r="AA31" s="5"/>
      <c r="AB31" s="5"/>
      <c r="AC31" s="5"/>
      <c r="AD31" s="5"/>
      <c r="AE31" s="5"/>
      <c r="AF31" s="5"/>
    </row>
    <row r="32" ht="39.75" customHeight="1">
      <c r="A32" s="5"/>
      <c r="B32" s="6" t="s">
        <v>129</v>
      </c>
      <c r="C32" s="6" t="s">
        <v>12</v>
      </c>
      <c r="D32" s="6" t="s">
        <v>130</v>
      </c>
      <c r="E32" s="9">
        <v>10.0</v>
      </c>
      <c r="F32" s="9" t="s">
        <v>24</v>
      </c>
      <c r="G32" s="9" t="s">
        <v>19</v>
      </c>
      <c r="H32" s="9" t="s">
        <v>50</v>
      </c>
      <c r="I32" s="9" t="s">
        <v>35</v>
      </c>
      <c r="J32" s="9" t="s">
        <v>43</v>
      </c>
      <c r="K32" s="9" t="s">
        <v>30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39.75" customHeight="1">
      <c r="A33" s="5"/>
      <c r="B33" s="6" t="s">
        <v>131</v>
      </c>
      <c r="C33" s="6" t="s">
        <v>12</v>
      </c>
      <c r="D33" s="6" t="s">
        <v>132</v>
      </c>
      <c r="E33" s="9">
        <v>10.0</v>
      </c>
      <c r="F33" s="9" t="s">
        <v>15</v>
      </c>
      <c r="G33" s="9" t="s">
        <v>19</v>
      </c>
      <c r="H33" s="9" t="s">
        <v>34</v>
      </c>
      <c r="I33" s="9" t="s">
        <v>20</v>
      </c>
      <c r="J33" s="9" t="s">
        <v>21</v>
      </c>
      <c r="K33" s="9" t="s">
        <v>30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39.75" customHeight="1">
      <c r="A34" s="5"/>
      <c r="B34" s="6" t="s">
        <v>133</v>
      </c>
      <c r="C34" s="6" t="s">
        <v>12</v>
      </c>
      <c r="D34" s="6" t="s">
        <v>134</v>
      </c>
      <c r="E34" s="9">
        <v>10.0</v>
      </c>
      <c r="F34" s="9" t="s">
        <v>27</v>
      </c>
      <c r="G34" s="9" t="s">
        <v>28</v>
      </c>
      <c r="H34" s="9" t="s">
        <v>50</v>
      </c>
      <c r="I34" s="9" t="s">
        <v>29</v>
      </c>
      <c r="J34" s="9" t="s">
        <v>50</v>
      </c>
      <c r="K34" s="9" t="s">
        <v>30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39.75" customHeight="1">
      <c r="A35" s="5"/>
      <c r="B35" s="6" t="s">
        <v>135</v>
      </c>
      <c r="C35" s="6" t="s">
        <v>12</v>
      </c>
      <c r="D35" s="6" t="s">
        <v>136</v>
      </c>
      <c r="E35" s="9">
        <v>10.0</v>
      </c>
      <c r="F35" s="9" t="s">
        <v>24</v>
      </c>
      <c r="G35" s="9" t="s">
        <v>28</v>
      </c>
      <c r="H35" s="9" t="s">
        <v>50</v>
      </c>
      <c r="I35" s="9" t="s">
        <v>35</v>
      </c>
      <c r="J35" s="9" t="s">
        <v>21</v>
      </c>
      <c r="K35" s="9" t="s">
        <v>44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39.75" customHeight="1">
      <c r="A36" s="5"/>
      <c r="B36" s="6" t="s">
        <v>137</v>
      </c>
      <c r="C36" s="6" t="s">
        <v>12</v>
      </c>
      <c r="D36" s="6" t="s">
        <v>138</v>
      </c>
      <c r="E36" s="9">
        <v>10.0</v>
      </c>
      <c r="F36" s="9" t="s">
        <v>27</v>
      </c>
      <c r="G36" s="9" t="s">
        <v>19</v>
      </c>
      <c r="H36" s="9" t="s">
        <v>50</v>
      </c>
      <c r="I36" s="9" t="s">
        <v>29</v>
      </c>
      <c r="J36" s="9" t="s">
        <v>21</v>
      </c>
      <c r="K36" s="9" t="s">
        <v>30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39.75" customHeight="1">
      <c r="A37" s="5"/>
      <c r="B37" s="6" t="s">
        <v>139</v>
      </c>
      <c r="C37" s="6" t="s">
        <v>12</v>
      </c>
      <c r="D37" s="6" t="s">
        <v>140</v>
      </c>
      <c r="E37" s="9">
        <v>10.0</v>
      </c>
      <c r="F37" s="9" t="s">
        <v>27</v>
      </c>
      <c r="G37" s="9" t="s">
        <v>19</v>
      </c>
      <c r="H37" s="9" t="s">
        <v>50</v>
      </c>
      <c r="I37" s="9" t="s">
        <v>29</v>
      </c>
      <c r="J37" s="9" t="s">
        <v>21</v>
      </c>
      <c r="K37" s="9" t="s">
        <v>30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39.75" customHeight="1">
      <c r="A38" s="5"/>
      <c r="B38" s="6" t="s">
        <v>141</v>
      </c>
      <c r="C38" s="6" t="s">
        <v>12</v>
      </c>
      <c r="D38" s="6" t="s">
        <v>142</v>
      </c>
      <c r="E38" s="9">
        <v>10.0</v>
      </c>
      <c r="F38" s="9" t="s">
        <v>27</v>
      </c>
      <c r="G38" s="9" t="s">
        <v>28</v>
      </c>
      <c r="H38" s="9" t="s">
        <v>17</v>
      </c>
      <c r="I38" s="9" t="s">
        <v>29</v>
      </c>
      <c r="J38" s="9" t="s">
        <v>21</v>
      </c>
      <c r="K38" s="9" t="s">
        <v>30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39.75" customHeight="1">
      <c r="A39" s="1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39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39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39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3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39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3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39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3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39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39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39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39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39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39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39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39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39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39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39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39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39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39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39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39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39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39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39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3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39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3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39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39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39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39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39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39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39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39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3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3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3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3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3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3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3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3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3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3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3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3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3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3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3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3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3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3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3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3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3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3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3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3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3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3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3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3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3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3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3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3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3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3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3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3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3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3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3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3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3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3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3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3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3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3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3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3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3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3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3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3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3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3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3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3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3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3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3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3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3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3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3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3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3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3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3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3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3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3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3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3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3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3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3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3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3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3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3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3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3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3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3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3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3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3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3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3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3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3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3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3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3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3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3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3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3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3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3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3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3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3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3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3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3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3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3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3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3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3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3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3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3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3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3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3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3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3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3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3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3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3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3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3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3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3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3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3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3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3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3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3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3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3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3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3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3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3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3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3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3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3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3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3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3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3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3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3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3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3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3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3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3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3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3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3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3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3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3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3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3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M4:W4"/>
    <mergeCell ref="M6:Q6"/>
    <mergeCell ref="S6:W6"/>
    <mergeCell ref="M15:Q15"/>
    <mergeCell ref="S15:W15"/>
    <mergeCell ref="M24:Q24"/>
    <mergeCell ref="S24:W24"/>
  </mergeCells>
  <dataValidations>
    <dataValidation type="list" allowBlank="1" sqref="G3:G38">
      <formula1>"Search online or in a book,Try again by myself,Ask a teacher,parent,or friend,Leave it and do something else,I don’t try again"</formula1>
    </dataValidation>
    <dataValidation type="list" allowBlank="1" sqref="H3:H38">
      <formula1>"Very often,Rarely,Sometimes,Never"</formula1>
    </dataValidation>
    <dataValidation type="list" allowBlank="1" sqref="F3:F38">
      <formula1>"By watching a video or demonstration,By trying it out myself (doing it hands-on),By listening to someone explain,By reading a book or text,I’m not sure"</formula1>
    </dataValidation>
    <dataValidation type="custom" allowBlank="1" showDropDown="1" sqref="E3:E38">
      <formula1>AND(ISNUMBER(E3),(NOT(OR(NOT(ISERROR(DATEVALUE(E3))), AND(ISNUMBER(E3), LEFT(CELL("format", E3))="D")))))</formula1>
    </dataValidation>
    <dataValidation type="list" allowBlank="1" sqref="I3:I38">
      <formula1>"Solving puzzles or logical questions,Doing experiments or hands-on work,Memorizing facts or answers,Drawing,acting,or performing,Telling or listening to stories"</formula1>
    </dataValidation>
    <dataValidation type="list" allowBlank="1" sqref="J3:J38">
      <formula1>"Always,Only when I have to,Sometimes,Never"</formula1>
    </dataValidation>
    <dataValidation type="list" allowBlank="1" sqref="K3:K38">
      <formula1>"Personal experiences (doing and observing),School or teacher,Home or family,Friends or classmates,Internet or books"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6.75"/>
    <col customWidth="1" min="2" max="21" width="23.75"/>
  </cols>
  <sheetData>
    <row r="1" ht="15.75" customHeight="1"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0.63"/>
    <col customWidth="1" min="2" max="21" width="23.75"/>
  </cols>
  <sheetData>
    <row r="1" ht="15.75" customHeight="1"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9.38"/>
    <col customWidth="1" min="2" max="21" width="23.75"/>
  </cols>
  <sheetData>
    <row r="1" ht="15.75" customHeight="1">
      <c r="F1" s="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5.75" customHeight="1">
      <c r="F2" s="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5.75" customHeight="1">
      <c r="F3" s="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5.75" customHeight="1">
      <c r="F4" s="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5.75" customHeight="1">
      <c r="F5" s="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5.75" customHeight="1">
      <c r="F6" s="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5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7.63"/>
    <col customWidth="1" min="2" max="21" width="23.75"/>
  </cols>
  <sheetData>
    <row r="1" ht="15.75" customHeight="1"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7.63"/>
    <col customWidth="1" min="2" max="21" width="23.75"/>
  </cols>
  <sheetData>
    <row r="1" ht="15.75" customHeight="1"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5.75" customHeight="1"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5.75" customHeight="1"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5.75" customHeight="1"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5.75" customHeight="1"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5.75" customHeight="1"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5.75" customHeight="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7.63"/>
    <col customWidth="1" min="2" max="21" width="23.75"/>
  </cols>
  <sheetData>
    <row r="1" ht="15.75" customHeight="1"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15.75" customHeight="1"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5.75" customHeight="1"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5.75" customHeight="1"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5.75" customHeight="1"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5.75" customHeight="1"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5.75" customHeight="1"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5.75" customHeight="1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5.7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5.75" customHeight="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5.75" customHeight="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5.7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5.75" customHeight="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5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5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5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5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5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5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5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5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5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